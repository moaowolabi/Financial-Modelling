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capo/Documents/"/>
    </mc:Choice>
  </mc:AlternateContent>
  <xr:revisionPtr revIDLastSave="0" documentId="8_{F192B7A6-F267-0543-8460-2CF278ADA7E1}" xr6:coauthVersionLast="47" xr6:coauthVersionMax="47" xr10:uidLastSave="{00000000-0000-0000-0000-000000000000}"/>
  <bookViews>
    <workbookView xWindow="4440" yWindow="760" windowWidth="25800" windowHeight="15940" xr2:uid="{492DDF6B-C00E-264A-BBAA-49733E0F91B3}"/>
  </bookViews>
  <sheets>
    <sheet name="Q1 - Q7" sheetId="1" r:id="rId1"/>
  </sheets>
  <definedNames>
    <definedName name="solver_adj" localSheetId="0" hidden="1">'Q1 - Q7'!$I$29:$K$29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itr" localSheetId="0" hidden="1">2147483647</definedName>
    <definedName name="solver_lhs1" localSheetId="0" hidden="1">'Q1 - Q7'!$I$29</definedName>
    <definedName name="solver_lhs2" localSheetId="0" hidden="1">'Q1 - Q7'!$I$29</definedName>
    <definedName name="solver_lhs3" localSheetId="0" hidden="1">'Q1 - Q7'!$J$29</definedName>
    <definedName name="solver_lhs4" localSheetId="0" hidden="1">'Q1 - Q7'!$J$29</definedName>
    <definedName name="solver_lhs5" localSheetId="0" hidden="1">'Q1 - Q7'!$K$29</definedName>
    <definedName name="solver_lhs6" localSheetId="0" hidden="1">'Q1 - Q7'!$K$29</definedName>
    <definedName name="solver_lhs7" localSheetId="0" hidden="1">'Q1 - Q7'!$L$29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7</definedName>
    <definedName name="solver_opt" localSheetId="0" hidden="1">'Q1 - Q7'!$I$32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el3" localSheetId="0" hidden="1">1</definedName>
    <definedName name="solver_rel4" localSheetId="0" hidden="1">3</definedName>
    <definedName name="solver_rel5" localSheetId="0" hidden="1">1</definedName>
    <definedName name="solver_rel6" localSheetId="0" hidden="1">3</definedName>
    <definedName name="solver_rel7" localSheetId="0" hidden="1">2</definedName>
    <definedName name="solver_rhs1" localSheetId="0" hidden="1">1</definedName>
    <definedName name="solver_rhs2" localSheetId="0" hidden="1">0</definedName>
    <definedName name="solver_rhs3" localSheetId="0" hidden="1">1</definedName>
    <definedName name="solver_rhs4" localSheetId="0" hidden="1">0</definedName>
    <definedName name="solver_rhs5" localSheetId="0" hidden="1">1</definedName>
    <definedName name="solver_rhs6" localSheetId="0" hidden="1">0</definedName>
    <definedName name="solver_rhs7" localSheetId="0" hidden="1">1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9" i="1" l="1"/>
  <c r="W18" i="1"/>
  <c r="W17" i="1"/>
  <c r="W16" i="1"/>
  <c r="W15" i="1"/>
  <c r="W14" i="1"/>
  <c r="W13" i="1"/>
  <c r="W12" i="1"/>
  <c r="W11" i="1"/>
  <c r="W10" i="1"/>
  <c r="Q22" i="1"/>
  <c r="Q21" i="1"/>
  <c r="Q10" i="1"/>
  <c r="Q9" i="1"/>
  <c r="J20" i="1" a="1"/>
  <c r="J21" i="1" a="1"/>
  <c r="J21" i="1" l="1"/>
  <c r="J20" i="1"/>
  <c r="N21" i="1" l="1"/>
  <c r="N20" i="1"/>
  <c r="N19" i="1"/>
  <c r="L29" i="1"/>
  <c r="G127" i="1"/>
  <c r="F127" i="1"/>
  <c r="E127" i="1"/>
  <c r="G126" i="1"/>
  <c r="F126" i="1"/>
  <c r="E126" i="1"/>
  <c r="G125" i="1"/>
  <c r="F125" i="1"/>
  <c r="E125" i="1"/>
  <c r="G124" i="1"/>
  <c r="F124" i="1"/>
  <c r="E124" i="1"/>
  <c r="G123" i="1"/>
  <c r="F123" i="1"/>
  <c r="E123" i="1"/>
  <c r="G122" i="1"/>
  <c r="F122" i="1"/>
  <c r="E122" i="1"/>
  <c r="G121" i="1"/>
  <c r="F121" i="1"/>
  <c r="E121" i="1"/>
  <c r="G120" i="1"/>
  <c r="F120" i="1"/>
  <c r="E120" i="1"/>
  <c r="G119" i="1"/>
  <c r="F119" i="1"/>
  <c r="E119" i="1"/>
  <c r="G118" i="1"/>
  <c r="F118" i="1"/>
  <c r="E118" i="1"/>
  <c r="G117" i="1"/>
  <c r="F117" i="1"/>
  <c r="E117" i="1"/>
  <c r="G116" i="1"/>
  <c r="F116" i="1"/>
  <c r="E116" i="1"/>
  <c r="G115" i="1"/>
  <c r="F115" i="1"/>
  <c r="E115" i="1"/>
  <c r="G114" i="1"/>
  <c r="F114" i="1"/>
  <c r="E114" i="1"/>
  <c r="G113" i="1"/>
  <c r="F113" i="1"/>
  <c r="E113" i="1"/>
  <c r="G112" i="1"/>
  <c r="F112" i="1"/>
  <c r="E112" i="1"/>
  <c r="G111" i="1"/>
  <c r="F111" i="1"/>
  <c r="E111" i="1"/>
  <c r="G110" i="1"/>
  <c r="F110" i="1"/>
  <c r="E110" i="1"/>
  <c r="G109" i="1"/>
  <c r="F109" i="1"/>
  <c r="E109" i="1"/>
  <c r="G108" i="1"/>
  <c r="F108" i="1"/>
  <c r="E108" i="1"/>
  <c r="G107" i="1"/>
  <c r="F107" i="1"/>
  <c r="E107" i="1"/>
  <c r="G106" i="1"/>
  <c r="F106" i="1"/>
  <c r="E106" i="1"/>
  <c r="G105" i="1"/>
  <c r="F105" i="1"/>
  <c r="E105" i="1"/>
  <c r="G104" i="1"/>
  <c r="F104" i="1"/>
  <c r="E104" i="1"/>
  <c r="G103" i="1"/>
  <c r="F103" i="1"/>
  <c r="E103" i="1"/>
  <c r="G102" i="1"/>
  <c r="F102" i="1"/>
  <c r="E102" i="1"/>
  <c r="G101" i="1"/>
  <c r="F101" i="1"/>
  <c r="E101" i="1"/>
  <c r="G100" i="1"/>
  <c r="F100" i="1"/>
  <c r="E100" i="1"/>
  <c r="G99" i="1"/>
  <c r="F99" i="1"/>
  <c r="E99" i="1"/>
  <c r="G98" i="1"/>
  <c r="F98" i="1"/>
  <c r="E98" i="1"/>
  <c r="G97" i="1"/>
  <c r="F97" i="1"/>
  <c r="E97" i="1"/>
  <c r="G96" i="1"/>
  <c r="F96" i="1"/>
  <c r="E96" i="1"/>
  <c r="G95" i="1"/>
  <c r="F95" i="1"/>
  <c r="E95" i="1"/>
  <c r="G94" i="1"/>
  <c r="F94" i="1"/>
  <c r="E94" i="1"/>
  <c r="G93" i="1"/>
  <c r="F93" i="1"/>
  <c r="E93" i="1"/>
  <c r="G92" i="1"/>
  <c r="F92" i="1"/>
  <c r="E92" i="1"/>
  <c r="G91" i="1"/>
  <c r="F91" i="1"/>
  <c r="E91" i="1"/>
  <c r="G90" i="1"/>
  <c r="F90" i="1"/>
  <c r="E90" i="1"/>
  <c r="G89" i="1"/>
  <c r="F89" i="1"/>
  <c r="E89" i="1"/>
  <c r="G88" i="1"/>
  <c r="F88" i="1"/>
  <c r="E88" i="1"/>
  <c r="G87" i="1"/>
  <c r="F87" i="1"/>
  <c r="E87" i="1"/>
  <c r="G86" i="1"/>
  <c r="F86" i="1"/>
  <c r="E86" i="1"/>
  <c r="G85" i="1"/>
  <c r="F85" i="1"/>
  <c r="E85" i="1"/>
  <c r="G84" i="1"/>
  <c r="F84" i="1"/>
  <c r="E84" i="1"/>
  <c r="G83" i="1"/>
  <c r="F83" i="1"/>
  <c r="E83" i="1"/>
  <c r="G82" i="1"/>
  <c r="F82" i="1"/>
  <c r="E82" i="1"/>
  <c r="G81" i="1"/>
  <c r="F81" i="1"/>
  <c r="E81" i="1"/>
  <c r="G80" i="1"/>
  <c r="F80" i="1"/>
  <c r="E80" i="1"/>
  <c r="G79" i="1"/>
  <c r="F79" i="1"/>
  <c r="E79" i="1"/>
  <c r="G78" i="1"/>
  <c r="F78" i="1"/>
  <c r="E78" i="1"/>
  <c r="G77" i="1"/>
  <c r="F77" i="1"/>
  <c r="E77" i="1"/>
  <c r="G76" i="1"/>
  <c r="F76" i="1"/>
  <c r="E76" i="1"/>
  <c r="G75" i="1"/>
  <c r="F75" i="1"/>
  <c r="E75" i="1"/>
  <c r="G74" i="1"/>
  <c r="F74" i="1"/>
  <c r="E74" i="1"/>
  <c r="G73" i="1"/>
  <c r="F73" i="1"/>
  <c r="E73" i="1"/>
  <c r="G72" i="1"/>
  <c r="F72" i="1"/>
  <c r="E72" i="1"/>
  <c r="G71" i="1"/>
  <c r="F71" i="1"/>
  <c r="E71" i="1"/>
  <c r="G70" i="1"/>
  <c r="F70" i="1"/>
  <c r="E70" i="1"/>
  <c r="G69" i="1"/>
  <c r="F69" i="1"/>
  <c r="E69" i="1"/>
  <c r="G68" i="1"/>
  <c r="F68" i="1"/>
  <c r="E68" i="1"/>
  <c r="G67" i="1"/>
  <c r="F67" i="1"/>
  <c r="E67" i="1"/>
  <c r="G66" i="1"/>
  <c r="F66" i="1"/>
  <c r="E66" i="1"/>
  <c r="G65" i="1"/>
  <c r="F65" i="1"/>
  <c r="E65" i="1"/>
  <c r="G64" i="1"/>
  <c r="F64" i="1"/>
  <c r="E64" i="1"/>
  <c r="G63" i="1"/>
  <c r="F63" i="1"/>
  <c r="E63" i="1"/>
  <c r="G62" i="1"/>
  <c r="F62" i="1"/>
  <c r="E62" i="1"/>
  <c r="G61" i="1"/>
  <c r="F61" i="1"/>
  <c r="E61" i="1"/>
  <c r="G60" i="1"/>
  <c r="F60" i="1"/>
  <c r="E60" i="1"/>
  <c r="G59" i="1"/>
  <c r="F59" i="1"/>
  <c r="E59" i="1"/>
  <c r="G58" i="1"/>
  <c r="F58" i="1"/>
  <c r="E58" i="1"/>
  <c r="G57" i="1"/>
  <c r="F57" i="1"/>
  <c r="E57" i="1"/>
  <c r="G56" i="1"/>
  <c r="F56" i="1"/>
  <c r="E56" i="1"/>
  <c r="G55" i="1"/>
  <c r="F55" i="1"/>
  <c r="E55" i="1"/>
  <c r="G54" i="1"/>
  <c r="F54" i="1"/>
  <c r="E54" i="1"/>
  <c r="G53" i="1"/>
  <c r="F53" i="1"/>
  <c r="E53" i="1"/>
  <c r="G52" i="1"/>
  <c r="F52" i="1"/>
  <c r="E52" i="1"/>
  <c r="G51" i="1"/>
  <c r="F51" i="1"/>
  <c r="E51" i="1"/>
  <c r="G50" i="1"/>
  <c r="F50" i="1"/>
  <c r="E50" i="1"/>
  <c r="G49" i="1"/>
  <c r="F49" i="1"/>
  <c r="E49" i="1"/>
  <c r="G48" i="1"/>
  <c r="F48" i="1"/>
  <c r="E48" i="1"/>
  <c r="G47" i="1"/>
  <c r="F47" i="1"/>
  <c r="E47" i="1"/>
  <c r="G46" i="1"/>
  <c r="F46" i="1"/>
  <c r="E46" i="1"/>
  <c r="G45" i="1"/>
  <c r="F45" i="1"/>
  <c r="E45" i="1"/>
  <c r="G44" i="1"/>
  <c r="F44" i="1"/>
  <c r="E44" i="1"/>
  <c r="G43" i="1"/>
  <c r="F43" i="1"/>
  <c r="E43" i="1"/>
  <c r="G42" i="1"/>
  <c r="F42" i="1"/>
  <c r="E42" i="1"/>
  <c r="G41" i="1"/>
  <c r="F41" i="1"/>
  <c r="E41" i="1"/>
  <c r="G40" i="1"/>
  <c r="F40" i="1"/>
  <c r="E40" i="1"/>
  <c r="G39" i="1"/>
  <c r="F39" i="1"/>
  <c r="E39" i="1"/>
  <c r="G38" i="1"/>
  <c r="F38" i="1"/>
  <c r="E38" i="1"/>
  <c r="G37" i="1"/>
  <c r="F37" i="1"/>
  <c r="E37" i="1"/>
  <c r="G36" i="1"/>
  <c r="F36" i="1"/>
  <c r="E36" i="1"/>
  <c r="G35" i="1"/>
  <c r="F35" i="1"/>
  <c r="E35" i="1"/>
  <c r="G34" i="1"/>
  <c r="F34" i="1"/>
  <c r="E34" i="1"/>
  <c r="G33" i="1"/>
  <c r="F33" i="1"/>
  <c r="E33" i="1"/>
  <c r="G32" i="1"/>
  <c r="F32" i="1"/>
  <c r="E32" i="1"/>
  <c r="G31" i="1"/>
  <c r="F31" i="1"/>
  <c r="E31" i="1"/>
  <c r="G30" i="1"/>
  <c r="F30" i="1"/>
  <c r="E30" i="1"/>
  <c r="G29" i="1"/>
  <c r="F29" i="1"/>
  <c r="E29" i="1"/>
  <c r="G28" i="1"/>
  <c r="F28" i="1"/>
  <c r="E28" i="1"/>
  <c r="G27" i="1"/>
  <c r="F27" i="1"/>
  <c r="E27" i="1"/>
  <c r="G26" i="1"/>
  <c r="F26" i="1"/>
  <c r="E26" i="1"/>
  <c r="G25" i="1"/>
  <c r="F25" i="1"/>
  <c r="E25" i="1"/>
  <c r="G24" i="1"/>
  <c r="F24" i="1"/>
  <c r="E24" i="1"/>
  <c r="G23" i="1"/>
  <c r="F23" i="1"/>
  <c r="E23" i="1"/>
  <c r="G22" i="1"/>
  <c r="F22" i="1"/>
  <c r="E22" i="1"/>
  <c r="G21" i="1"/>
  <c r="F21" i="1"/>
  <c r="E21" i="1"/>
  <c r="G20" i="1"/>
  <c r="F20" i="1"/>
  <c r="E20" i="1"/>
  <c r="G19" i="1"/>
  <c r="F19" i="1"/>
  <c r="E19" i="1"/>
  <c r="G18" i="1"/>
  <c r="F18" i="1"/>
  <c r="E18" i="1"/>
  <c r="G17" i="1"/>
  <c r="F17" i="1"/>
  <c r="E17" i="1"/>
  <c r="G16" i="1"/>
  <c r="F16" i="1"/>
  <c r="E16" i="1"/>
  <c r="G15" i="1"/>
  <c r="F15" i="1"/>
  <c r="E15" i="1"/>
  <c r="G14" i="1"/>
  <c r="F14" i="1"/>
  <c r="E14" i="1"/>
  <c r="G13" i="1"/>
  <c r="F13" i="1"/>
  <c r="E13" i="1"/>
  <c r="G12" i="1"/>
  <c r="F12" i="1"/>
  <c r="E12" i="1"/>
  <c r="G11" i="1"/>
  <c r="F11" i="1"/>
  <c r="E11" i="1"/>
  <c r="G10" i="1"/>
  <c r="F10" i="1"/>
  <c r="E10" i="1"/>
  <c r="G9" i="1"/>
  <c r="F9" i="1"/>
  <c r="E9" i="1"/>
  <c r="G8" i="1"/>
  <c r="F8" i="1"/>
  <c r="E8" i="1"/>
  <c r="G7" i="1"/>
  <c r="F7" i="1"/>
  <c r="E7" i="1"/>
  <c r="G6" i="1"/>
  <c r="F6" i="1"/>
  <c r="E6" i="1"/>
  <c r="G5" i="1"/>
  <c r="F5" i="1"/>
  <c r="E5" i="1"/>
  <c r="G4" i="1"/>
  <c r="F4" i="1"/>
  <c r="E4" i="1"/>
  <c r="G3" i="1"/>
  <c r="F3" i="1"/>
  <c r="E3" i="1"/>
  <c r="J19" i="1" a="1"/>
  <c r="J26" i="1" a="1"/>
  <c r="J25" i="1" a="1"/>
  <c r="J24" i="1" a="1"/>
  <c r="J19" i="1" l="1"/>
  <c r="R10" i="1"/>
  <c r="J10" i="1"/>
  <c r="W4" i="1"/>
  <c r="L16" i="1"/>
  <c r="J4" i="1"/>
  <c r="V5" i="1"/>
  <c r="R14" i="1"/>
  <c r="W5" i="1"/>
  <c r="L14" i="1"/>
  <c r="J2" i="1"/>
  <c r="R9" i="1"/>
  <c r="V3" i="1"/>
  <c r="U5" i="1"/>
  <c r="U4" i="1"/>
  <c r="K14" i="1"/>
  <c r="J15" i="1"/>
  <c r="J8" i="1"/>
  <c r="Q13" i="1"/>
  <c r="W3" i="1"/>
  <c r="J14" i="1"/>
  <c r="S9" i="1"/>
  <c r="R13" i="1"/>
  <c r="U3" i="1"/>
  <c r="J16" i="1"/>
  <c r="Q14" i="1"/>
  <c r="V4" i="1"/>
  <c r="K16" i="1"/>
  <c r="K15" i="1"/>
  <c r="L15" i="1"/>
  <c r="J3" i="1"/>
  <c r="I35" i="1" s="1"/>
  <c r="J35" i="1" s="1"/>
  <c r="J9" i="1"/>
  <c r="N25" i="1" s="1"/>
  <c r="J26" i="1"/>
  <c r="J25" i="1"/>
  <c r="J24" i="1"/>
  <c r="N24" i="1"/>
  <c r="N26" i="1"/>
  <c r="Q17" i="1" l="1" a="1"/>
  <c r="I32" i="1"/>
  <c r="I38" i="1" l="1"/>
  <c r="J38" i="1" s="1"/>
  <c r="Q17" i="1"/>
  <c r="Q25" i="1" s="1"/>
  <c r="Q26" i="1"/>
  <c r="R25" i="1" l="1"/>
  <c r="R26" i="1" l="1"/>
  <c r="Q28" i="1" s="1"/>
  <c r="Q29" i="1" l="1"/>
  <c r="Q34" i="1" s="1"/>
  <c r="Q37" i="1"/>
  <c r="Q40" i="1" s="1"/>
  <c r="Q41" i="1" l="1"/>
  <c r="Q49" i="1" l="1"/>
  <c r="Q48" i="1"/>
  <c r="Q47" i="1"/>
  <c r="Q50" i="1" s="1"/>
  <c r="Q43" i="1"/>
  <c r="Q4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<sst xmlns="http://schemas.openxmlformats.org/spreadsheetml/2006/main" count="97" uniqueCount="43">
  <si>
    <t>Dates</t>
  </si>
  <si>
    <t>Visa (V)</t>
  </si>
  <si>
    <t>Berkshire (BRK-B)</t>
  </si>
  <si>
    <t>Nvidia (NVDA)</t>
  </si>
  <si>
    <t>Return (V)</t>
  </si>
  <si>
    <t>Return (BRK-B)</t>
  </si>
  <si>
    <t>Return (NVDA)</t>
  </si>
  <si>
    <t>Daily Volatility</t>
  </si>
  <si>
    <t>Annualised Volatility</t>
  </si>
  <si>
    <t>Weight 1</t>
  </si>
  <si>
    <t>Weight 2</t>
  </si>
  <si>
    <t>Weight 3</t>
  </si>
  <si>
    <t>Sum</t>
  </si>
  <si>
    <t>Compounded Annual Growth Rate (With VBA)</t>
  </si>
  <si>
    <t>CAGR (Without VBA)</t>
  </si>
  <si>
    <t>Annualised Volatility (Without VBA)</t>
  </si>
  <si>
    <t>Variance</t>
  </si>
  <si>
    <t>Expected Return</t>
  </si>
  <si>
    <t>Annualised</t>
  </si>
  <si>
    <t>Portfolio Volatility</t>
  </si>
  <si>
    <t>Correlation</t>
  </si>
  <si>
    <t>Sharpe Ratio</t>
  </si>
  <si>
    <t>Average Daily Return</t>
  </si>
  <si>
    <t>Optimal Risk Portfolio</t>
  </si>
  <si>
    <t>1 Year Yield</t>
  </si>
  <si>
    <t>Standard Deviation</t>
  </si>
  <si>
    <t>Correlation Matrix</t>
  </si>
  <si>
    <t>Covariance Matrix</t>
  </si>
  <si>
    <t>Annualised Return</t>
  </si>
  <si>
    <t>Inverse Matrix</t>
  </si>
  <si>
    <t>Optimal Risk Portfolio Weights</t>
  </si>
  <si>
    <t>Excess Returns</t>
  </si>
  <si>
    <t>ORP Expected Return</t>
  </si>
  <si>
    <t>ORP Expected Volatility (Calculated with Covariance Values)</t>
  </si>
  <si>
    <t>Risk Aversion Coefficient</t>
  </si>
  <si>
    <t>Portfolio Variance (Calculated Using Correlation Value)</t>
  </si>
  <si>
    <t>Y</t>
  </si>
  <si>
    <t>OCP Expected Return</t>
  </si>
  <si>
    <t>OCP Expected Volatility</t>
  </si>
  <si>
    <t>OCP Assets</t>
  </si>
  <si>
    <t>T-Bill</t>
  </si>
  <si>
    <t>SUM OF ALLOCATION</t>
  </si>
  <si>
    <t>OCP Weight Allocation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</si>
</sst>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00%"/>
    <numFmt numFmtId="165" formatCode="0.0000%"/>
    <numFmt numFmtId="166" formatCode="0.00000%"/>
    <numFmt numFmtId="167" formatCode="0.000000%"/>
    <numFmt numFmtId="168" formatCode="0.000000000"/>
    <numFmt numFmtId="169" formatCode="0.0%"/>
    <numFmt numFmtId="170" formatCode="0.000000"/>
    <numFmt numFmtId="171" formatCode="0.0000"/>
    <numFmt numFmtId="172" formatCode="0.000"/>
  </numFmts>
  <fonts count="5" x14ac:knownFonts="1">
    <font>
      <sz val="12"/>
      <color theme="1"/>
      <name val="Aptos Narrow"/>
      <family val="2"/>
      <scheme val="minor"/>
    </font>
    <font>
      <sz val="12"/>
      <color theme="1"/>
      <name val="Aptos Narrow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2"/>
      <color rgb="FFFA7D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4" fillId="2" borderId="1" applyNumberFormat="0" applyAlignment="0" applyProtection="0"/>
  </cellStyleXfs>
  <cellXfs count="93">
    <xf numFmtId="0" fontId="0" fillId="0" borderId="0" xfId="0"/>
    <xf numFmtId="0" fontId="1" fillId="0" borderId="0" xfId="0" applyFont="1"/>
    <xf numFmtId="10" fontId="0" fillId="0" borderId="0" xfId="1" applyNumberFormat="1" applyFont="1"/>
    <xf numFmtId="164" fontId="0" fillId="0" borderId="0" xfId="1" applyNumberFormat="1" applyFont="1"/>
    <xf numFmtId="0" fontId="3" fillId="0" borderId="0" xfId="0" applyFont="1"/>
    <xf numFmtId="0" fontId="0" fillId="0" borderId="0" xfId="0" applyAlignment="1">
      <alignment vertical="center"/>
    </xf>
    <xf numFmtId="168" fontId="0" fillId="0" borderId="0" xfId="0" applyNumberFormat="1"/>
    <xf numFmtId="14" fontId="1" fillId="0" borderId="0" xfId="0" applyNumberFormat="1" applyFont="1"/>
    <xf numFmtId="14" fontId="0" fillId="0" borderId="0" xfId="0" applyNumberFormat="1"/>
    <xf numFmtId="167" fontId="0" fillId="0" borderId="4" xfId="1" applyNumberFormat="1" applyFont="1" applyBorder="1"/>
    <xf numFmtId="167" fontId="0" fillId="0" borderId="6" xfId="1" applyNumberFormat="1" applyFont="1" applyBorder="1"/>
    <xf numFmtId="0" fontId="0" fillId="0" borderId="7" xfId="0" applyBorder="1"/>
    <xf numFmtId="0" fontId="0" fillId="0" borderId="8" xfId="0" applyBorder="1"/>
    <xf numFmtId="166" fontId="0" fillId="0" borderId="4" xfId="1" applyNumberFormat="1" applyFont="1" applyBorder="1"/>
    <xf numFmtId="166" fontId="0" fillId="0" borderId="6" xfId="1" applyNumberFormat="1" applyFont="1" applyBorder="1"/>
    <xf numFmtId="166" fontId="0" fillId="0" borderId="14" xfId="1" applyNumberFormat="1" applyFont="1" applyBorder="1"/>
    <xf numFmtId="165" fontId="0" fillId="0" borderId="6" xfId="1" applyNumberFormat="1" applyFont="1" applyBorder="1"/>
    <xf numFmtId="165" fontId="0" fillId="0" borderId="14" xfId="1" applyNumberFormat="1" applyFont="1" applyBorder="1"/>
    <xf numFmtId="165" fontId="0" fillId="0" borderId="4" xfId="1" applyNumberFormat="1" applyFont="1" applyBorder="1"/>
    <xf numFmtId="0" fontId="4" fillId="2" borderId="2" xfId="2" applyBorder="1"/>
    <xf numFmtId="0" fontId="1" fillId="0" borderId="7" xfId="0" applyFont="1" applyBorder="1"/>
    <xf numFmtId="0" fontId="1" fillId="0" borderId="11" xfId="0" applyFont="1" applyBorder="1"/>
    <xf numFmtId="0" fontId="1" fillId="0" borderId="8" xfId="0" applyFont="1" applyBorder="1"/>
    <xf numFmtId="0" fontId="1" fillId="0" borderId="15" xfId="0" applyFont="1" applyBorder="1"/>
    <xf numFmtId="0" fontId="1" fillId="0" borderId="16" xfId="0" applyFont="1" applyBorder="1"/>
    <xf numFmtId="0" fontId="1" fillId="0" borderId="17" xfId="0" applyFont="1" applyBorder="1"/>
    <xf numFmtId="0" fontId="0" fillId="0" borderId="2" xfId="0" applyBorder="1"/>
    <xf numFmtId="0" fontId="0" fillId="0" borderId="13" xfId="0" applyBorder="1"/>
    <xf numFmtId="0" fontId="0" fillId="0" borderId="18" xfId="0" applyBorder="1"/>
    <xf numFmtId="0" fontId="0" fillId="0" borderId="14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2" xfId="0" applyBorder="1"/>
    <xf numFmtId="0" fontId="0" fillId="0" borderId="6" xfId="0" applyBorder="1"/>
    <xf numFmtId="0" fontId="4" fillId="2" borderId="19" xfId="2" applyBorder="1"/>
    <xf numFmtId="10" fontId="0" fillId="0" borderId="17" xfId="0" applyNumberFormat="1" applyBorder="1"/>
    <xf numFmtId="9" fontId="0" fillId="0" borderId="17" xfId="0" applyNumberFormat="1" applyBorder="1"/>
    <xf numFmtId="0" fontId="0" fillId="0" borderId="17" xfId="0" applyBorder="1"/>
    <xf numFmtId="166" fontId="0" fillId="0" borderId="17" xfId="1" applyNumberFormat="1" applyFont="1" applyBorder="1"/>
    <xf numFmtId="165" fontId="0" fillId="0" borderId="17" xfId="1" applyNumberFormat="1" applyFont="1" applyBorder="1"/>
    <xf numFmtId="10" fontId="0" fillId="0" borderId="4" xfId="0" applyNumberFormat="1" applyBorder="1"/>
    <xf numFmtId="167" fontId="0" fillId="0" borderId="4" xfId="0" applyNumberFormat="1" applyBorder="1"/>
    <xf numFmtId="167" fontId="0" fillId="0" borderId="6" xfId="0" applyNumberFormat="1" applyBorder="1"/>
    <xf numFmtId="167" fontId="0" fillId="0" borderId="0" xfId="0" applyNumberFormat="1"/>
    <xf numFmtId="166" fontId="0" fillId="0" borderId="0" xfId="1" applyNumberFormat="1" applyFont="1" applyBorder="1"/>
    <xf numFmtId="0" fontId="4" fillId="2" borderId="8" xfId="2" applyBorder="1"/>
    <xf numFmtId="167" fontId="0" fillId="0" borderId="11" xfId="0" applyNumberFormat="1" applyBorder="1"/>
    <xf numFmtId="166" fontId="0" fillId="0" borderId="11" xfId="1" applyNumberFormat="1" applyFont="1" applyBorder="1"/>
    <xf numFmtId="0" fontId="0" fillId="0" borderId="15" xfId="0" applyBorder="1"/>
    <xf numFmtId="0" fontId="3" fillId="0" borderId="4" xfId="0" applyFont="1" applyBorder="1"/>
    <xf numFmtId="0" fontId="0" fillId="0" borderId="12" xfId="1" applyNumberFormat="1" applyFont="1" applyBorder="1"/>
    <xf numFmtId="0" fontId="0" fillId="0" borderId="6" xfId="1" applyNumberFormat="1" applyFont="1" applyBorder="1"/>
    <xf numFmtId="0" fontId="0" fillId="0" borderId="16" xfId="0" applyBorder="1"/>
    <xf numFmtId="10" fontId="0" fillId="0" borderId="4" xfId="1" applyNumberFormat="1" applyFont="1" applyBorder="1"/>
    <xf numFmtId="10" fontId="0" fillId="0" borderId="6" xfId="0" applyNumberFormat="1" applyBorder="1"/>
    <xf numFmtId="9" fontId="0" fillId="0" borderId="8" xfId="0" applyNumberFormat="1" applyBorder="1"/>
    <xf numFmtId="9" fontId="0" fillId="0" borderId="16" xfId="1" applyFont="1" applyBorder="1"/>
    <xf numFmtId="9" fontId="0" fillId="0" borderId="17" xfId="1" applyFont="1" applyBorder="1"/>
    <xf numFmtId="172" fontId="0" fillId="0" borderId="14" xfId="0" applyNumberFormat="1" applyBorder="1"/>
    <xf numFmtId="164" fontId="0" fillId="0" borderId="4" xfId="1" applyNumberFormat="1" applyFont="1" applyBorder="1"/>
    <xf numFmtId="170" fontId="0" fillId="0" borderId="4" xfId="0" applyNumberFormat="1" applyBorder="1"/>
    <xf numFmtId="165" fontId="0" fillId="0" borderId="4" xfId="0" applyNumberFormat="1" applyBorder="1"/>
    <xf numFmtId="164" fontId="0" fillId="0" borderId="6" xfId="1" applyNumberFormat="1" applyFont="1" applyBorder="1"/>
    <xf numFmtId="169" fontId="0" fillId="0" borderId="16" xfId="0" applyNumberFormat="1" applyBorder="1"/>
    <xf numFmtId="169" fontId="0" fillId="0" borderId="17" xfId="0" applyNumberFormat="1" applyBorder="1"/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4" fillId="2" borderId="7" xfId="2" applyBorder="1" applyAlignment="1">
      <alignment horizontal="center"/>
    </xf>
    <xf numFmtId="0" fontId="4" fillId="2" borderId="8" xfId="2" applyBorder="1" applyAlignment="1">
      <alignment horizontal="center"/>
    </xf>
    <xf numFmtId="0" fontId="4" fillId="2" borderId="9" xfId="2" applyBorder="1" applyAlignment="1">
      <alignment horizontal="center"/>
    </xf>
    <xf numFmtId="0" fontId="4" fillId="2" borderId="10" xfId="2" applyBorder="1" applyAlignment="1">
      <alignment horizontal="center"/>
    </xf>
    <xf numFmtId="0" fontId="4" fillId="2" borderId="11" xfId="2" applyBorder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67" fontId="0" fillId="0" borderId="0" xfId="0" applyNumberFormat="1" applyAlignment="1">
      <alignment horizontal="center"/>
    </xf>
    <xf numFmtId="167" fontId="0" fillId="0" borderId="4" xfId="0" applyNumberFormat="1" applyBorder="1" applyAlignment="1">
      <alignment horizontal="center"/>
    </xf>
    <xf numFmtId="167" fontId="0" fillId="0" borderId="12" xfId="0" applyNumberFormat="1" applyBorder="1" applyAlignment="1">
      <alignment horizontal="center"/>
    </xf>
    <xf numFmtId="167" fontId="0" fillId="0" borderId="6" xfId="0" applyNumberFormat="1" applyBorder="1" applyAlignment="1">
      <alignment horizontal="center"/>
    </xf>
    <xf numFmtId="165" fontId="0" fillId="0" borderId="0" xfId="1" applyNumberFormat="1" applyFont="1" applyBorder="1" applyAlignment="1">
      <alignment horizontal="center"/>
    </xf>
    <xf numFmtId="165" fontId="0" fillId="0" borderId="4" xfId="1" applyNumberFormat="1" applyFont="1" applyBorder="1" applyAlignment="1">
      <alignment horizontal="center"/>
    </xf>
    <xf numFmtId="165" fontId="0" fillId="0" borderId="12" xfId="1" applyNumberFormat="1" applyFont="1" applyBorder="1" applyAlignment="1">
      <alignment horizontal="center"/>
    </xf>
    <xf numFmtId="165" fontId="0" fillId="0" borderId="6" xfId="1" applyNumberFormat="1" applyFont="1" applyBorder="1" applyAlignment="1">
      <alignment horizontal="center"/>
    </xf>
    <xf numFmtId="0" fontId="4" fillId="2" borderId="19" xfId="2" applyBorder="1" applyAlignment="1">
      <alignment horizontal="center" vertical="center" wrapText="1"/>
    </xf>
    <xf numFmtId="0" fontId="4" fillId="2" borderId="20" xfId="2" applyBorder="1" applyAlignment="1">
      <alignment horizontal="center" vertical="center" wrapText="1"/>
    </xf>
    <xf numFmtId="0" fontId="4" fillId="2" borderId="21" xfId="2" applyBorder="1" applyAlignment="1">
      <alignment horizontal="center" vertical="center" wrapText="1"/>
    </xf>
    <xf numFmtId="164" fontId="0" fillId="0" borderId="4" xfId="1" applyNumberFormat="1" applyFont="1" applyBorder="1" applyAlignment="1">
      <alignment horizontal="center" vertical="center"/>
    </xf>
    <xf numFmtId="164" fontId="0" fillId="0" borderId="6" xfId="1" applyNumberFormat="1" applyFont="1" applyBorder="1" applyAlignment="1">
      <alignment horizontal="center" vertical="center"/>
    </xf>
    <xf numFmtId="0" fontId="4" fillId="2" borderId="19" xfId="2" applyBorder="1" applyAlignment="1">
      <alignment horizontal="center" wrapText="1"/>
    </xf>
    <xf numFmtId="0" fontId="4" fillId="2" borderId="20" xfId="2" applyBorder="1" applyAlignment="1">
      <alignment horizontal="center" wrapText="1"/>
    </xf>
    <xf numFmtId="0" fontId="4" fillId="2" borderId="21" xfId="2" applyBorder="1" applyAlignment="1">
      <alignment horizontal="center" wrapText="1"/>
    </xf>
    <xf numFmtId="171" fontId="0" fillId="0" borderId="14" xfId="0" applyNumberFormat="1" applyBorder="1" applyAlignment="1">
      <alignment horizontal="center" vertical="center"/>
    </xf>
    <xf numFmtId="171" fontId="0" fillId="0" borderId="4" xfId="0" applyNumberFormat="1" applyBorder="1" applyAlignment="1">
      <alignment horizontal="center" vertical="center"/>
    </xf>
  </cellXfs>
  <cellStyles count="3">
    <cellStyle name="Calculation" xfId="2" builtinId="22"/>
    <cellStyle name="Normal" xfId="0" builtinId="0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07BE0-0306-4A45-A20E-24C9A4C33C4C}">
  <sheetPr codeName="Sheet1"/>
  <dimension ref="A1:W128"/>
  <sheetViews>
    <sheetView tabSelected="1" zoomScale="59" workbookViewId="0">
      <selection activeCell="M47" sqref="M47"/>
    </sheetView>
  </sheetViews>
  <sheetFormatPr baseColWidth="10" defaultRowHeight="16" x14ac:dyDescent="0.2"/>
  <cols>
    <col min="1" max="1" width="11.5" style="8" bestFit="1" customWidth="1"/>
    <col min="3" max="3" width="15.6640625" bestFit="1" customWidth="1"/>
    <col min="4" max="4" width="12.6640625" bestFit="1" customWidth="1"/>
    <col min="6" max="6" width="13.5" bestFit="1" customWidth="1"/>
    <col min="7" max="7" width="13" bestFit="1" customWidth="1"/>
    <col min="9" max="9" width="15.6640625" bestFit="1" customWidth="1"/>
    <col min="10" max="10" width="12.83203125" bestFit="1" customWidth="1"/>
    <col min="11" max="11" width="15.6640625" bestFit="1" customWidth="1"/>
    <col min="12" max="12" width="12.83203125" bestFit="1" customWidth="1"/>
    <col min="13" max="13" width="17.83203125" bestFit="1" customWidth="1"/>
    <col min="14" max="14" width="11.83203125" customWidth="1"/>
    <col min="16" max="16" width="21.6640625" customWidth="1"/>
    <col min="17" max="17" width="20" customWidth="1"/>
    <col min="18" max="18" width="17" customWidth="1"/>
    <col min="20" max="20" width="16" bestFit="1" customWidth="1"/>
    <col min="22" max="22" width="16.83203125" bestFit="1" customWidth="1"/>
    <col min="23" max="23" width="20.33203125" bestFit="1" customWidth="1"/>
  </cols>
  <sheetData>
    <row r="1" spans="1:23" ht="17" thickBot="1" x14ac:dyDescent="0.25">
      <c r="A1" s="7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I1" s="68" t="s">
        <v>22</v>
      </c>
      <c r="J1" s="69"/>
    </row>
    <row r="2" spans="1:23" ht="17" thickBot="1" x14ac:dyDescent="0.25">
      <c r="A2" s="7">
        <v>45524</v>
      </c>
      <c r="B2" s="1">
        <v>268.04000000000002</v>
      </c>
      <c r="C2" s="1">
        <v>448.36</v>
      </c>
      <c r="D2" s="1">
        <v>127.25</v>
      </c>
      <c r="E2" s="1"/>
      <c r="F2" s="1"/>
      <c r="G2" s="1"/>
      <c r="I2" s="23" t="s">
        <v>1</v>
      </c>
      <c r="J2" s="9">
        <f>AVERAGE(E3:E127)</f>
        <v>2.1455676183375779E-3</v>
      </c>
      <c r="P2" s="68" t="s">
        <v>23</v>
      </c>
      <c r="Q2" s="69"/>
      <c r="T2" s="19" t="s">
        <v>26</v>
      </c>
      <c r="U2" s="20" t="s">
        <v>1</v>
      </c>
      <c r="V2" s="21" t="s">
        <v>2</v>
      </c>
      <c r="W2" s="22" t="s">
        <v>3</v>
      </c>
    </row>
    <row r="3" spans="1:23" x14ac:dyDescent="0.2">
      <c r="A3" s="7">
        <v>45525</v>
      </c>
      <c r="B3" s="1">
        <v>268.2</v>
      </c>
      <c r="C3" s="1">
        <v>446.6</v>
      </c>
      <c r="D3" s="1">
        <v>128.5</v>
      </c>
      <c r="E3" s="1">
        <f>LN(B3/B2)</f>
        <v>5.9674774260815629E-4</v>
      </c>
      <c r="F3" s="1">
        <f>LN(C3/C2)</f>
        <v>-3.9331417468370915E-3</v>
      </c>
      <c r="G3" s="1">
        <f>LN(D3/D2)</f>
        <v>9.7752489046424654E-3</v>
      </c>
      <c r="I3" s="24" t="s">
        <v>2</v>
      </c>
      <c r="J3" s="9">
        <f>AVERAGE(F3:F127)</f>
        <v>5.7546087222300158E-4</v>
      </c>
      <c r="P3" s="49" t="s">
        <v>24</v>
      </c>
      <c r="Q3" s="41">
        <v>4.0399999999999998E-2</v>
      </c>
      <c r="T3" s="23" t="s">
        <v>1</v>
      </c>
      <c r="U3" s="27">
        <f>CORREL(E3:E127,E3:E127)</f>
        <v>1</v>
      </c>
      <c r="V3" s="28">
        <f>CORREL(E3:E127,F3:F127)</f>
        <v>0.51912007697240714</v>
      </c>
      <c r="W3" s="29">
        <f>CORREL(E3:E127,G3:G127)</f>
        <v>-8.962893984232688E-2</v>
      </c>
    </row>
    <row r="4" spans="1:23" ht="17" thickBot="1" x14ac:dyDescent="0.25">
      <c r="A4" s="7">
        <v>45526</v>
      </c>
      <c r="B4" s="1">
        <v>267.94</v>
      </c>
      <c r="C4" s="1">
        <v>449.03</v>
      </c>
      <c r="D4" s="1">
        <v>123.74</v>
      </c>
      <c r="E4" s="1">
        <f t="shared" ref="E4:G67" si="0">LN(B4/B3)</f>
        <v>-9.69895998738304E-4</v>
      </c>
      <c r="F4" s="1">
        <f t="shared" si="0"/>
        <v>5.4263612489305378E-3</v>
      </c>
      <c r="G4" s="1">
        <f t="shared" si="0"/>
        <v>-3.7746314232431778E-2</v>
      </c>
      <c r="I4" s="25" t="s">
        <v>3</v>
      </c>
      <c r="J4" s="10">
        <f>AVERAGE(G3:G127)</f>
        <v>7.7019338362007577E-4</v>
      </c>
      <c r="P4" s="53" t="s">
        <v>1</v>
      </c>
      <c r="Q4" s="42">
        <v>2.1455676183375779E-3</v>
      </c>
      <c r="T4" s="24" t="s">
        <v>2</v>
      </c>
      <c r="U4" s="30">
        <f>CORREL(E3:E127,F3:F127)</f>
        <v>0.51912007697240714</v>
      </c>
      <c r="V4">
        <f>CORREL(F3:F127,F3:F127)</f>
        <v>0.99999999999999989</v>
      </c>
      <c r="W4" s="31">
        <f>CORREL(G3:G127,F3:F127)</f>
        <v>-8.744351382563928E-2</v>
      </c>
    </row>
    <row r="5" spans="1:23" ht="17" thickBot="1" x14ac:dyDescent="0.25">
      <c r="A5" s="7">
        <v>45527</v>
      </c>
      <c r="B5" s="1">
        <v>267.44</v>
      </c>
      <c r="C5" s="1">
        <v>453.38</v>
      </c>
      <c r="D5" s="1">
        <v>129.37</v>
      </c>
      <c r="E5" s="1">
        <f t="shared" si="0"/>
        <v>-1.8678327369966042E-3</v>
      </c>
      <c r="F5" s="1">
        <f t="shared" si="0"/>
        <v>9.6409252853912088E-3</v>
      </c>
      <c r="G5" s="1">
        <f t="shared" si="0"/>
        <v>4.449392582696797E-2</v>
      </c>
      <c r="P5" s="53" t="s">
        <v>2</v>
      </c>
      <c r="Q5" s="42">
        <v>5.7546087222300202E-4</v>
      </c>
      <c r="T5" s="25" t="s">
        <v>3</v>
      </c>
      <c r="U5" s="32">
        <f>CORREL(E3:E127,G3:G127)</f>
        <v>-8.962893984232688E-2</v>
      </c>
      <c r="V5" s="33">
        <f>CORREL(G3:G127,F3:F127)</f>
        <v>-8.744351382563928E-2</v>
      </c>
      <c r="W5" s="34">
        <f>CORREL(G3:G127,G3:G127)</f>
        <v>1.0000000000000002</v>
      </c>
    </row>
    <row r="6" spans="1:23" ht="17" thickBot="1" x14ac:dyDescent="0.25">
      <c r="A6" s="7">
        <v>45530</v>
      </c>
      <c r="B6" s="1">
        <v>268.20999999999998</v>
      </c>
      <c r="C6" s="1">
        <v>454.49</v>
      </c>
      <c r="D6" s="1">
        <v>126.46</v>
      </c>
      <c r="E6" s="1">
        <f t="shared" si="0"/>
        <v>2.8750136483993802E-3</v>
      </c>
      <c r="F6" s="1">
        <f t="shared" si="0"/>
        <v>2.4452852348823477E-3</v>
      </c>
      <c r="G6" s="1">
        <f t="shared" si="0"/>
        <v>-2.2750463299343521E-2</v>
      </c>
      <c r="P6" s="38" t="s">
        <v>3</v>
      </c>
      <c r="Q6" s="43">
        <v>7.7019338362007599E-4</v>
      </c>
    </row>
    <row r="7" spans="1:23" ht="17" thickBot="1" x14ac:dyDescent="0.25">
      <c r="A7" s="7">
        <v>45531</v>
      </c>
      <c r="B7" s="1">
        <v>270.72000000000003</v>
      </c>
      <c r="C7" s="1">
        <v>460.63</v>
      </c>
      <c r="D7" s="1">
        <v>128.30000000000001</v>
      </c>
      <c r="E7" s="1">
        <f t="shared" si="0"/>
        <v>9.3148206576159874E-3</v>
      </c>
      <c r="F7" s="1">
        <f t="shared" si="0"/>
        <v>1.341920652625133E-2</v>
      </c>
      <c r="G7" s="1">
        <f t="shared" si="0"/>
        <v>1.4445218991123788E-2</v>
      </c>
      <c r="I7" s="70" t="s">
        <v>7</v>
      </c>
      <c r="J7" s="71"/>
    </row>
    <row r="8" spans="1:23" ht="17" thickBot="1" x14ac:dyDescent="0.25">
      <c r="A8" s="7">
        <v>45532</v>
      </c>
      <c r="B8" s="1">
        <v>269.19</v>
      </c>
      <c r="C8" s="1">
        <v>464.59</v>
      </c>
      <c r="D8" s="1">
        <v>125.61</v>
      </c>
      <c r="E8" s="1">
        <f t="shared" si="0"/>
        <v>-5.6676264397825639E-3</v>
      </c>
      <c r="F8" s="1">
        <f t="shared" si="0"/>
        <v>8.5601785116339625E-3</v>
      </c>
      <c r="G8" s="1">
        <f t="shared" si="0"/>
        <v>-2.1189402922429205E-2</v>
      </c>
      <c r="I8" s="23" t="s">
        <v>1</v>
      </c>
      <c r="J8" s="13">
        <f>_xlfn.STDEV.S(E3:E127)</f>
        <v>1.1172243570016664E-2</v>
      </c>
      <c r="P8" s="23"/>
      <c r="Q8" s="46" t="s">
        <v>28</v>
      </c>
      <c r="R8" s="19" t="s">
        <v>25</v>
      </c>
      <c r="S8" s="46" t="s">
        <v>20</v>
      </c>
      <c r="V8" s="19" t="s">
        <v>25</v>
      </c>
      <c r="W8" s="46" t="s">
        <v>17</v>
      </c>
    </row>
    <row r="9" spans="1:23" ht="17" thickBot="1" x14ac:dyDescent="0.25">
      <c r="A9" s="7">
        <v>45533</v>
      </c>
      <c r="B9" s="1">
        <v>274.32</v>
      </c>
      <c r="C9" s="1">
        <v>468.37</v>
      </c>
      <c r="D9" s="1">
        <v>117.59</v>
      </c>
      <c r="E9" s="1">
        <f t="shared" si="0"/>
        <v>1.88778581765888E-2</v>
      </c>
      <c r="F9" s="1">
        <f t="shared" si="0"/>
        <v>8.1032856368919957E-3</v>
      </c>
      <c r="G9" s="1">
        <f t="shared" si="0"/>
        <v>-6.597787086383719E-2</v>
      </c>
      <c r="I9" s="24" t="s">
        <v>2</v>
      </c>
      <c r="J9" s="13">
        <f>_xlfn.STDEV.S(F3:F127)</f>
        <v>1.0127406213208113E-2</v>
      </c>
      <c r="P9" s="53" t="s">
        <v>1</v>
      </c>
      <c r="Q9" s="44">
        <f>0.214556761833758%*252</f>
        <v>0.54068303982107013</v>
      </c>
      <c r="R9" s="45">
        <f>_xlfn.STDEV.S(E3:E127)</f>
        <v>1.1172243570016664E-2</v>
      </c>
      <c r="S9" s="73">
        <f>CORREL(E3:E127,G3:G127)</f>
        <v>-8.962893984232688E-2</v>
      </c>
      <c r="V9" s="64">
        <v>0</v>
      </c>
      <c r="W9" s="41">
        <v>4.0399999999999998E-2</v>
      </c>
    </row>
    <row r="10" spans="1:23" ht="17" thickBot="1" x14ac:dyDescent="0.25">
      <c r="A10" s="7">
        <v>45534</v>
      </c>
      <c r="B10" s="1">
        <v>276.37</v>
      </c>
      <c r="C10" s="1">
        <v>475.92</v>
      </c>
      <c r="D10" s="1">
        <v>119.37</v>
      </c>
      <c r="E10" s="1">
        <f t="shared" si="0"/>
        <v>7.4452394979200144E-3</v>
      </c>
      <c r="F10" s="1">
        <f t="shared" si="0"/>
        <v>1.5991191029611305E-2</v>
      </c>
      <c r="G10" s="1">
        <f t="shared" si="0"/>
        <v>1.5023915271622633E-2</v>
      </c>
      <c r="I10" s="25" t="s">
        <v>3</v>
      </c>
      <c r="J10" s="14">
        <f>_xlfn.STDEV.S(G3:G127)</f>
        <v>3.3209763555285168E-2</v>
      </c>
      <c r="P10" s="26" t="s">
        <v>3</v>
      </c>
      <c r="Q10" s="47">
        <f>0.0770193383620076%*252</f>
        <v>0.19408873267225915</v>
      </c>
      <c r="R10" s="48">
        <f>_xlfn.STDEV.S(G3:G127)</f>
        <v>3.3209763555285168E-2</v>
      </c>
      <c r="S10" s="74"/>
      <c r="V10" s="64">
        <v>0.1</v>
      </c>
      <c r="W10" s="41">
        <f t="shared" ref="W10:W19" si="1">$W$9+(($Q$28-$W$9)/$Q$29)*V10</f>
        <v>4.6199446968505908</v>
      </c>
    </row>
    <row r="11" spans="1:23" ht="17" thickBot="1" x14ac:dyDescent="0.25">
      <c r="A11" s="7">
        <v>45538</v>
      </c>
      <c r="B11" s="1">
        <v>278.54000000000002</v>
      </c>
      <c r="C11" s="1">
        <v>476.83</v>
      </c>
      <c r="D11" s="1">
        <v>108</v>
      </c>
      <c r="E11" s="1">
        <f t="shared" si="0"/>
        <v>7.8211279723610742E-3</v>
      </c>
      <c r="F11" s="1">
        <f t="shared" si="0"/>
        <v>1.9102603552304657E-3</v>
      </c>
      <c r="G11" s="1">
        <f t="shared" si="0"/>
        <v>-0.10009668598272735</v>
      </c>
      <c r="V11" s="64">
        <v>0.2</v>
      </c>
      <c r="W11" s="41">
        <f t="shared" si="1"/>
        <v>9.1994893937011817</v>
      </c>
    </row>
    <row r="12" spans="1:23" ht="17" thickBot="1" x14ac:dyDescent="0.25">
      <c r="A12" s="7">
        <v>45539</v>
      </c>
      <c r="B12" s="1">
        <v>280.49</v>
      </c>
      <c r="C12" s="1">
        <v>478.57</v>
      </c>
      <c r="D12" s="1">
        <v>106.21</v>
      </c>
      <c r="E12" s="1">
        <f t="shared" si="0"/>
        <v>6.976398078420664E-3</v>
      </c>
      <c r="F12" s="1">
        <f t="shared" si="0"/>
        <v>3.6424574498357671E-3</v>
      </c>
      <c r="G12" s="1">
        <f t="shared" si="0"/>
        <v>-1.6712960790771555E-2</v>
      </c>
      <c r="P12" s="19" t="s">
        <v>27</v>
      </c>
      <c r="Q12" s="11" t="s">
        <v>1</v>
      </c>
      <c r="R12" s="12" t="s">
        <v>3</v>
      </c>
      <c r="V12" s="64">
        <v>0.3</v>
      </c>
      <c r="W12" s="41">
        <f t="shared" si="1"/>
        <v>13.779034090551772</v>
      </c>
    </row>
    <row r="13" spans="1:23" ht="17" thickBot="1" x14ac:dyDescent="0.25">
      <c r="A13" s="7">
        <v>45540</v>
      </c>
      <c r="B13" s="1">
        <v>278.62</v>
      </c>
      <c r="C13" s="1">
        <v>464.92</v>
      </c>
      <c r="D13" s="1">
        <v>107.21</v>
      </c>
      <c r="E13" s="1">
        <f t="shared" si="0"/>
        <v>-6.6892274252876027E-3</v>
      </c>
      <c r="F13" s="1">
        <f t="shared" si="0"/>
        <v>-2.8937142909209401E-2</v>
      </c>
      <c r="G13" s="1">
        <f t="shared" si="0"/>
        <v>9.371261534700203E-3</v>
      </c>
      <c r="I13" s="19" t="s">
        <v>27</v>
      </c>
      <c r="J13" s="20" t="s">
        <v>1</v>
      </c>
      <c r="K13" s="21" t="s">
        <v>2</v>
      </c>
      <c r="L13" s="22" t="s">
        <v>3</v>
      </c>
      <c r="P13" s="49" t="s">
        <v>1</v>
      </c>
      <c r="Q13">
        <f>_xlfn.COVARIANCE.P(E3:E127,E3:E127)</f>
        <v>1.2382047417667646E-4</v>
      </c>
      <c r="R13" s="31">
        <f>_xlfn.COVARIANCE.P(E3:E127,G3:G127)</f>
        <v>-3.2988769053063301E-5</v>
      </c>
      <c r="V13" s="64">
        <v>0.4</v>
      </c>
      <c r="W13" s="41">
        <f t="shared" si="1"/>
        <v>18.358578787402365</v>
      </c>
    </row>
    <row r="14" spans="1:23" ht="17" thickBot="1" x14ac:dyDescent="0.25">
      <c r="A14" s="7">
        <v>45541</v>
      </c>
      <c r="B14" s="1">
        <v>279.37</v>
      </c>
      <c r="C14" s="1">
        <v>459.42</v>
      </c>
      <c r="D14" s="1">
        <v>102.83</v>
      </c>
      <c r="E14" s="1">
        <f t="shared" si="0"/>
        <v>2.688221837876965E-3</v>
      </c>
      <c r="F14" s="1">
        <f t="shared" si="0"/>
        <v>-1.1900523422420105E-2</v>
      </c>
      <c r="G14" s="1">
        <f t="shared" si="0"/>
        <v>-4.1712388627049075E-2</v>
      </c>
      <c r="I14" s="23" t="s">
        <v>1</v>
      </c>
      <c r="J14" s="27">
        <f>_xlfn.COVARIANCE.P(E3:E127,E3:E127)</f>
        <v>1.2382047417667646E-4</v>
      </c>
      <c r="K14" s="28">
        <f>_xlfn.COVARIANCE.P(E3:E127,F3:F127)</f>
        <v>5.8266391559681693E-5</v>
      </c>
      <c r="L14" s="29">
        <f>_xlfn.COVARIANCE.P(E3:E127,G3:G127)</f>
        <v>-3.2988769053063301E-5</v>
      </c>
      <c r="P14" s="38" t="s">
        <v>3</v>
      </c>
      <c r="Q14" s="33">
        <f>_xlfn.COVARIANCE.P(E3:E127,G3:G127)</f>
        <v>-3.2988769053063301E-5</v>
      </c>
      <c r="R14" s="34">
        <f>_xlfn.COVARIANCE.P(G3:G127,G3:G127)</f>
        <v>1.0940652882347635E-3</v>
      </c>
      <c r="V14" s="64">
        <v>0.5</v>
      </c>
      <c r="W14" s="41">
        <f t="shared" si="1"/>
        <v>22.938123484252955</v>
      </c>
    </row>
    <row r="15" spans="1:23" ht="17" thickBot="1" x14ac:dyDescent="0.25">
      <c r="A15" s="7">
        <v>45544</v>
      </c>
      <c r="B15" s="1">
        <v>285.61</v>
      </c>
      <c r="C15" s="1">
        <v>459.61</v>
      </c>
      <c r="D15" s="1">
        <v>106.47</v>
      </c>
      <c r="E15" s="1">
        <f t="shared" si="0"/>
        <v>2.2090175742099854E-2</v>
      </c>
      <c r="F15" s="1">
        <f t="shared" si="0"/>
        <v>4.134794352892201E-4</v>
      </c>
      <c r="G15" s="1">
        <f t="shared" si="0"/>
        <v>3.4786116085415604E-2</v>
      </c>
      <c r="I15" s="24" t="s">
        <v>2</v>
      </c>
      <c r="J15" s="30">
        <f>_xlfn.COVARIANCE.P(E3:E127,F3:F127)</f>
        <v>5.8266391559681693E-5</v>
      </c>
      <c r="K15">
        <f>_xlfn.COVARIANCE.P(F3:F127,F3:F127)</f>
        <v>1.0174384175446763E-4</v>
      </c>
      <c r="L15" s="31">
        <f>_xlfn.COVARIANCE.P(F3:F127,G3:G127)</f>
        <v>-2.9174490926843054E-5</v>
      </c>
      <c r="V15" s="64">
        <v>0.6</v>
      </c>
      <c r="W15" s="41">
        <f t="shared" si="1"/>
        <v>27.517668181103545</v>
      </c>
    </row>
    <row r="16" spans="1:23" ht="17" thickBot="1" x14ac:dyDescent="0.25">
      <c r="A16" s="7">
        <v>45545</v>
      </c>
      <c r="B16" s="1">
        <v>285.33999999999997</v>
      </c>
      <c r="C16" s="1">
        <v>458.92</v>
      </c>
      <c r="D16" s="1">
        <v>108.1</v>
      </c>
      <c r="E16" s="1">
        <f t="shared" si="0"/>
        <v>-9.4579217138729443E-4</v>
      </c>
      <c r="F16" s="1">
        <f t="shared" si="0"/>
        <v>-1.5024008574341054E-3</v>
      </c>
      <c r="G16" s="1">
        <f t="shared" si="0"/>
        <v>1.5193469318647681E-2</v>
      </c>
      <c r="I16" s="25" t="s">
        <v>3</v>
      </c>
      <c r="J16" s="32">
        <f>_xlfn.COVARIANCE.P(E3:E127,G3:G127)</f>
        <v>-3.2988769053063301E-5</v>
      </c>
      <c r="K16" s="33">
        <f>_xlfn.COVARIANCE.P(F3:F127,G3:G127)</f>
        <v>-2.9174490926843054E-5</v>
      </c>
      <c r="L16" s="34">
        <f>_xlfn.COVARIANCE.P(G3:G127,G3:G127)</f>
        <v>1.0940652882347635E-3</v>
      </c>
      <c r="P16" s="19" t="s">
        <v>29</v>
      </c>
      <c r="Q16" s="11" t="s">
        <v>1</v>
      </c>
      <c r="R16" s="12" t="s">
        <v>3</v>
      </c>
      <c r="V16" s="64">
        <v>0.7</v>
      </c>
      <c r="W16" s="41">
        <f t="shared" si="1"/>
        <v>32.097212877954128</v>
      </c>
    </row>
    <row r="17" spans="1:23" ht="17" thickBot="1" x14ac:dyDescent="0.25">
      <c r="A17" s="7">
        <v>45546</v>
      </c>
      <c r="B17" s="1">
        <v>283.95999999999998</v>
      </c>
      <c r="C17" s="1">
        <v>453.1</v>
      </c>
      <c r="D17" s="1">
        <v>116.91</v>
      </c>
      <c r="E17" s="1">
        <f t="shared" si="0"/>
        <v>-4.8480685154831766E-3</v>
      </c>
      <c r="F17" s="1">
        <f t="shared" si="0"/>
        <v>-1.2763051257849737E-2</v>
      </c>
      <c r="G17" s="1">
        <f t="shared" si="0"/>
        <v>7.8347683373565069E-2</v>
      </c>
      <c r="P17" s="49" t="s">
        <v>1</v>
      </c>
      <c r="Q17" s="4" cm="1">
        <f t="array" ref="Q17:R18">MINVERSE(Q13:R14)</f>
        <v>8141.6131770609218</v>
      </c>
      <c r="R17" s="50">
        <v>245.48973421027475</v>
      </c>
      <c r="S17" s="4"/>
      <c r="T17" s="4"/>
      <c r="U17" s="4"/>
      <c r="V17" s="64">
        <v>0.8</v>
      </c>
      <c r="W17" s="41">
        <f t="shared" si="1"/>
        <v>36.676757574804725</v>
      </c>
    </row>
    <row r="18" spans="1:23" ht="17" thickBot="1" x14ac:dyDescent="0.25">
      <c r="A18" s="7">
        <v>45547</v>
      </c>
      <c r="B18" s="1">
        <v>285.37</v>
      </c>
      <c r="C18" s="1">
        <v>450.87</v>
      </c>
      <c r="D18" s="1">
        <v>119.14</v>
      </c>
      <c r="E18" s="1">
        <f t="shared" si="0"/>
        <v>4.9532007193264236E-3</v>
      </c>
      <c r="F18" s="1">
        <f t="shared" si="0"/>
        <v>-4.9338020589798906E-3</v>
      </c>
      <c r="G18" s="1">
        <f t="shared" si="0"/>
        <v>1.8894864181813922E-2</v>
      </c>
      <c r="I18" s="68" t="s">
        <v>13</v>
      </c>
      <c r="J18" s="72"/>
      <c r="K18" s="69"/>
      <c r="M18" s="70" t="s">
        <v>14</v>
      </c>
      <c r="N18" s="71"/>
      <c r="P18" s="38" t="s">
        <v>3</v>
      </c>
      <c r="Q18" s="51">
        <v>245.48973421027475</v>
      </c>
      <c r="R18" s="52">
        <v>921.42435646897502</v>
      </c>
      <c r="S18" s="5"/>
      <c r="T18" s="66"/>
      <c r="U18" s="67"/>
      <c r="V18" s="64">
        <v>0.9</v>
      </c>
      <c r="W18" s="41">
        <f t="shared" si="1"/>
        <v>41.256302271655315</v>
      </c>
    </row>
    <row r="19" spans="1:23" ht="17" thickBot="1" x14ac:dyDescent="0.25">
      <c r="A19" s="7">
        <v>45548</v>
      </c>
      <c r="B19" s="1">
        <v>287.35000000000002</v>
      </c>
      <c r="C19" s="1">
        <v>447.61</v>
      </c>
      <c r="D19" s="1">
        <v>119.1</v>
      </c>
      <c r="E19" s="1">
        <f t="shared" si="0"/>
        <v>6.9144010632392425E-3</v>
      </c>
      <c r="F19" s="1">
        <f t="shared" si="0"/>
        <v>-7.2567320496784733E-3</v>
      </c>
      <c r="G19" s="1">
        <f t="shared" si="0"/>
        <v>-3.3579583928697982E-4</v>
      </c>
      <c r="I19" s="23" t="s">
        <v>1</v>
      </c>
      <c r="J19" s="79" cm="1">
        <f t="array" ref="J19">[0]!CAGR.CAGR(B2,B127,0.5)</f>
        <v>0.70982650206161435</v>
      </c>
      <c r="K19" s="80"/>
      <c r="M19" s="23" t="s">
        <v>1</v>
      </c>
      <c r="N19" s="15">
        <f>(B127/B2)^2 - 1</f>
        <v>0.70982650206161435</v>
      </c>
      <c r="Q19" s="3"/>
      <c r="R19" s="3"/>
      <c r="S19" s="5"/>
      <c r="T19" s="66"/>
      <c r="U19" s="67"/>
      <c r="V19" s="65">
        <v>1</v>
      </c>
      <c r="W19" s="55">
        <f t="shared" si="1"/>
        <v>45.835846968505905</v>
      </c>
    </row>
    <row r="20" spans="1:23" ht="17" thickBot="1" x14ac:dyDescent="0.25">
      <c r="A20" s="7">
        <v>45551</v>
      </c>
      <c r="B20" s="1">
        <v>290.48</v>
      </c>
      <c r="C20" s="1">
        <v>451.78</v>
      </c>
      <c r="D20" s="1">
        <v>116.78</v>
      </c>
      <c r="E20" s="1">
        <f t="shared" si="0"/>
        <v>1.0833742152329741E-2</v>
      </c>
      <c r="F20" s="1">
        <f t="shared" si="0"/>
        <v>9.2730181146949576E-3</v>
      </c>
      <c r="G20" s="1">
        <f t="shared" si="0"/>
        <v>-1.9671653505862762E-2</v>
      </c>
      <c r="I20" s="24" t="s">
        <v>2</v>
      </c>
      <c r="J20" s="79" cm="1">
        <f t="array" ref="J20">[0]!CAGR.CAGR(C2,C127,0.5)</f>
        <v>0.15472846148882691</v>
      </c>
      <c r="K20" s="80"/>
      <c r="M20" s="24" t="s">
        <v>2</v>
      </c>
      <c r="N20" s="13">
        <f>(C127/C2)^2 - 1</f>
        <v>0.15472846148882691</v>
      </c>
      <c r="P20" s="27"/>
      <c r="Q20" s="70" t="s">
        <v>31</v>
      </c>
      <c r="R20" s="71"/>
    </row>
    <row r="21" spans="1:23" ht="17" thickBot="1" x14ac:dyDescent="0.25">
      <c r="A21" s="7">
        <v>45552</v>
      </c>
      <c r="B21" s="1">
        <v>291.56</v>
      </c>
      <c r="C21" s="1">
        <v>456.68</v>
      </c>
      <c r="D21" s="1">
        <v>115.59</v>
      </c>
      <c r="E21" s="1">
        <f t="shared" si="0"/>
        <v>3.7110894079318288E-3</v>
      </c>
      <c r="F21" s="1">
        <f t="shared" si="0"/>
        <v>1.0787591128997385E-2</v>
      </c>
      <c r="G21" s="1">
        <f t="shared" si="0"/>
        <v>-1.0242375549215622E-2</v>
      </c>
      <c r="I21" s="25" t="s">
        <v>3</v>
      </c>
      <c r="J21" s="81" cm="1">
        <f t="array" ref="J21">[0]!CAGR.CAGR(D2,D127,0.5)</f>
        <v>0.21233511372891156</v>
      </c>
      <c r="K21" s="82"/>
      <c r="M21" s="25" t="s">
        <v>3</v>
      </c>
      <c r="N21" s="16">
        <f>(D127/D2)^2 - 1</f>
        <v>0.21233511372891156</v>
      </c>
      <c r="P21" s="49" t="s">
        <v>1</v>
      </c>
      <c r="Q21" s="75">
        <f>(Q4*252)-Q3</f>
        <v>0.50028303982106959</v>
      </c>
      <c r="R21" s="76"/>
    </row>
    <row r="22" spans="1:23" ht="17" thickBot="1" x14ac:dyDescent="0.25">
      <c r="A22" s="7">
        <v>45553</v>
      </c>
      <c r="B22" s="1">
        <v>288.48</v>
      </c>
      <c r="C22" s="1">
        <v>456.6</v>
      </c>
      <c r="D22" s="1">
        <v>113.37</v>
      </c>
      <c r="E22" s="1">
        <f t="shared" si="0"/>
        <v>-1.0620057059004975E-2</v>
      </c>
      <c r="F22" s="1">
        <f t="shared" si="0"/>
        <v>-1.7519271243126764E-4</v>
      </c>
      <c r="G22" s="1">
        <f t="shared" si="0"/>
        <v>-1.9392641276668576E-2</v>
      </c>
      <c r="P22" s="38" t="s">
        <v>3</v>
      </c>
      <c r="Q22" s="77">
        <f>(Q6*252)-Q3</f>
        <v>0.15368873267225916</v>
      </c>
      <c r="R22" s="78"/>
    </row>
    <row r="23" spans="1:23" ht="17" thickBot="1" x14ac:dyDescent="0.25">
      <c r="A23" s="7">
        <v>45554</v>
      </c>
      <c r="B23" s="1">
        <v>285.24</v>
      </c>
      <c r="C23" s="1">
        <v>459.71</v>
      </c>
      <c r="D23" s="1">
        <v>117.87</v>
      </c>
      <c r="E23" s="1">
        <f t="shared" si="0"/>
        <v>-1.1294828294904264E-2</v>
      </c>
      <c r="F23" s="1">
        <f t="shared" si="0"/>
        <v>6.7881217972680218E-3</v>
      </c>
      <c r="G23" s="1">
        <f t="shared" si="0"/>
        <v>3.8925516208970862E-2</v>
      </c>
      <c r="I23" s="70" t="s">
        <v>8</v>
      </c>
      <c r="J23" s="71"/>
      <c r="M23" s="70" t="s">
        <v>15</v>
      </c>
      <c r="N23" s="71"/>
      <c r="P23" s="4"/>
      <c r="Q23" s="2"/>
      <c r="R23" s="6"/>
    </row>
    <row r="24" spans="1:23" ht="17" thickBot="1" x14ac:dyDescent="0.25">
      <c r="A24" s="7">
        <v>45555</v>
      </c>
      <c r="B24" s="1">
        <v>284.77</v>
      </c>
      <c r="C24" s="1">
        <v>455.31</v>
      </c>
      <c r="D24" s="1">
        <v>116</v>
      </c>
      <c r="E24" s="1">
        <f t="shared" si="0"/>
        <v>-1.6490942492736508E-3</v>
      </c>
      <c r="F24" s="1">
        <f t="shared" si="0"/>
        <v>-9.6173502528991116E-3</v>
      </c>
      <c r="G24" s="1">
        <f t="shared" si="0"/>
        <v>-1.5992131132113445E-2</v>
      </c>
      <c r="I24" s="23" t="s">
        <v>1</v>
      </c>
      <c r="J24" s="17" cm="1">
        <f t="array" ref="J24">Av(E3:E127)</f>
        <v>0.1773538684374272</v>
      </c>
      <c r="M24" s="23" t="s">
        <v>1</v>
      </c>
      <c r="N24" s="17">
        <f>J8*SQRT(252)</f>
        <v>0.1773538684374272</v>
      </c>
      <c r="P24" s="27"/>
      <c r="Q24" s="70" t="s">
        <v>30</v>
      </c>
      <c r="R24" s="71"/>
    </row>
    <row r="25" spans="1:23" x14ac:dyDescent="0.2">
      <c r="A25" s="7">
        <v>45558</v>
      </c>
      <c r="B25" s="1">
        <v>288.63</v>
      </c>
      <c r="C25" s="1">
        <v>454.98</v>
      </c>
      <c r="D25" s="1">
        <v>116.26</v>
      </c>
      <c r="E25" s="1">
        <f t="shared" si="0"/>
        <v>1.3463754130453765E-2</v>
      </c>
      <c r="F25" s="1">
        <f t="shared" si="0"/>
        <v>-7.2504369916489425E-4</v>
      </c>
      <c r="G25" s="1">
        <f t="shared" si="0"/>
        <v>2.2388711668398825E-3</v>
      </c>
      <c r="I25" s="24" t="s">
        <v>2</v>
      </c>
      <c r="J25" s="18" cm="1">
        <f t="array" ref="J25">Av(F3:F127)</f>
        <v>0.16076758959767426</v>
      </c>
      <c r="M25" s="24" t="s">
        <v>2</v>
      </c>
      <c r="N25" s="18">
        <f>J9*SQRT(252)</f>
        <v>0.16076758959767429</v>
      </c>
      <c r="P25" s="49" t="s">
        <v>1</v>
      </c>
      <c r="Q25">
        <f>Q17*Q21+R17*Q22</f>
        <v>4110.8399954021406</v>
      </c>
      <c r="R25" s="54">
        <f>Q25/(Q25+Q26)</f>
        <v>0.93956325433963495</v>
      </c>
    </row>
    <row r="26" spans="1:23" ht="17" thickBot="1" x14ac:dyDescent="0.25">
      <c r="A26" s="7">
        <v>45559</v>
      </c>
      <c r="B26" s="1">
        <v>272.77999999999997</v>
      </c>
      <c r="C26" s="1">
        <v>454.56</v>
      </c>
      <c r="D26" s="1">
        <v>120.87</v>
      </c>
      <c r="E26" s="1">
        <f t="shared" si="0"/>
        <v>-5.647998154255391E-2</v>
      </c>
      <c r="F26" s="1">
        <f t="shared" si="0"/>
        <v>-9.2354383502137494E-4</v>
      </c>
      <c r="G26" s="1">
        <f t="shared" si="0"/>
        <v>3.8886525598161081E-2</v>
      </c>
      <c r="I26" s="25" t="s">
        <v>3</v>
      </c>
      <c r="J26" s="16" cm="1">
        <f t="array" ref="J26">Av(G3:G127)</f>
        <v>0.52718865279924476</v>
      </c>
      <c r="M26" s="25" t="s">
        <v>3</v>
      </c>
      <c r="N26" s="16">
        <f>J10*SQRT(252)</f>
        <v>0.52718865279924476</v>
      </c>
      <c r="P26" s="38" t="s">
        <v>3</v>
      </c>
      <c r="Q26" s="33">
        <f>Q18*Q21+R18*Q22</f>
        <v>264.42689207465139</v>
      </c>
      <c r="R26" s="55">
        <f>1-R25</f>
        <v>6.0436745660365054E-2</v>
      </c>
    </row>
    <row r="27" spans="1:23" ht="17" thickBot="1" x14ac:dyDescent="0.25">
      <c r="A27" s="7">
        <v>45560</v>
      </c>
      <c r="B27" s="1">
        <v>269.63</v>
      </c>
      <c r="C27" s="1">
        <v>452.36</v>
      </c>
      <c r="D27" s="1">
        <v>123.51</v>
      </c>
      <c r="E27" s="1">
        <f t="shared" si="0"/>
        <v>-1.1614960686896192E-2</v>
      </c>
      <c r="F27" s="1">
        <f t="shared" si="0"/>
        <v>-4.8515951027515219E-3</v>
      </c>
      <c r="G27" s="1">
        <f t="shared" si="0"/>
        <v>2.1606536578557402E-2</v>
      </c>
    </row>
    <row r="28" spans="1:23" ht="17" thickBot="1" x14ac:dyDescent="0.25">
      <c r="A28" s="7">
        <v>45561</v>
      </c>
      <c r="B28" s="1">
        <v>271.69</v>
      </c>
      <c r="C28" s="1">
        <v>454.18</v>
      </c>
      <c r="D28" s="1">
        <v>124.04</v>
      </c>
      <c r="E28" s="1">
        <f t="shared" si="0"/>
        <v>7.6110616431744908E-3</v>
      </c>
      <c r="F28" s="1">
        <f t="shared" si="0"/>
        <v>4.015272233396594E-3</v>
      </c>
      <c r="G28" s="1">
        <f t="shared" si="0"/>
        <v>4.2819697823250902E-3</v>
      </c>
      <c r="I28" s="35" t="s">
        <v>9</v>
      </c>
      <c r="J28" s="35" t="s">
        <v>10</v>
      </c>
      <c r="K28" s="35" t="s">
        <v>11</v>
      </c>
      <c r="L28" s="35" t="s">
        <v>12</v>
      </c>
      <c r="P28" s="19" t="s">
        <v>32</v>
      </c>
      <c r="Q28" s="17">
        <f>SUMPRODUCT(R25:R26,Q9:Q10)</f>
        <v>0.519736007832587</v>
      </c>
    </row>
    <row r="29" spans="1:23" ht="17" customHeight="1" thickBot="1" x14ac:dyDescent="0.25">
      <c r="A29" s="7">
        <v>45562</v>
      </c>
      <c r="B29" s="1">
        <v>275.17</v>
      </c>
      <c r="C29" s="1">
        <v>457.47</v>
      </c>
      <c r="D29" s="1">
        <v>121.4</v>
      </c>
      <c r="E29" s="1">
        <f t="shared" si="0"/>
        <v>1.2727378034075228E-2</v>
      </c>
      <c r="F29" s="1">
        <f t="shared" si="0"/>
        <v>7.2177135585077381E-3</v>
      </c>
      <c r="G29" s="1">
        <f t="shared" si="0"/>
        <v>-2.1513215606850308E-2</v>
      </c>
      <c r="I29" s="36">
        <v>0.36522136916780823</v>
      </c>
      <c r="J29" s="36">
        <v>0.54426485123279378</v>
      </c>
      <c r="K29" s="36">
        <v>9.0513779599397881E-2</v>
      </c>
      <c r="L29" s="37">
        <f>I29+J29+K29</f>
        <v>0.99999999999999989</v>
      </c>
      <c r="P29" s="83" t="s">
        <v>33</v>
      </c>
      <c r="Q29" s="86">
        <f>SQRT(R25^2*Q13+R26^2*R14+2*R25*R26*R13)</f>
        <v>1.0466892225382848E-2</v>
      </c>
    </row>
    <row r="30" spans="1:23" ht="17" thickBot="1" x14ac:dyDescent="0.25">
      <c r="A30" s="7">
        <v>45565</v>
      </c>
      <c r="B30" s="1">
        <v>274.95</v>
      </c>
      <c r="C30" s="1">
        <v>460.26</v>
      </c>
      <c r="D30" s="1">
        <v>121.44</v>
      </c>
      <c r="E30" s="1">
        <f t="shared" si="0"/>
        <v>-7.9982553525866085E-4</v>
      </c>
      <c r="F30" s="1">
        <f t="shared" si="0"/>
        <v>6.080238404229314E-3</v>
      </c>
      <c r="G30" s="1">
        <f t="shared" si="0"/>
        <v>3.2943502192181391E-4</v>
      </c>
      <c r="P30" s="84"/>
      <c r="Q30" s="86"/>
    </row>
    <row r="31" spans="1:23" x14ac:dyDescent="0.2">
      <c r="A31" s="7">
        <v>45566</v>
      </c>
      <c r="B31" s="1">
        <v>277.60000000000002</v>
      </c>
      <c r="C31" s="1">
        <v>457.41</v>
      </c>
      <c r="D31" s="1">
        <v>117</v>
      </c>
      <c r="E31" s="1">
        <f t="shared" si="0"/>
        <v>9.5919656788257465E-3</v>
      </c>
      <c r="F31" s="1">
        <f t="shared" si="0"/>
        <v>-6.2114031473345455E-3</v>
      </c>
      <c r="G31" s="1">
        <f t="shared" si="0"/>
        <v>-3.7246378849563687E-2</v>
      </c>
      <c r="I31" s="35" t="s">
        <v>16</v>
      </c>
      <c r="P31" s="84"/>
      <c r="Q31" s="86"/>
    </row>
    <row r="32" spans="1:23" ht="17" thickBot="1" x14ac:dyDescent="0.25">
      <c r="A32" s="7">
        <v>45567</v>
      </c>
      <c r="B32" s="1">
        <v>277</v>
      </c>
      <c r="C32" s="1">
        <v>456.67</v>
      </c>
      <c r="D32" s="1">
        <v>118.85</v>
      </c>
      <c r="E32" s="1">
        <f t="shared" si="0"/>
        <v>-2.1637224453110305E-3</v>
      </c>
      <c r="F32" s="1">
        <f t="shared" si="0"/>
        <v>-1.619114654431058E-3</v>
      </c>
      <c r="G32" s="1">
        <f t="shared" si="0"/>
        <v>1.5688259008446757E-2</v>
      </c>
      <c r="I32" s="38">
        <f>I29^2*J14+J29^2*K15+K29^2*L16+2*I29*J29*K14+2*I29*K29*L14+2*J29*K29*L15</f>
        <v>7.3726911117310184E-5</v>
      </c>
      <c r="P32" s="85"/>
      <c r="Q32" s="87"/>
    </row>
    <row r="33" spans="1:17" ht="17" thickBot="1" x14ac:dyDescent="0.25">
      <c r="A33" s="7">
        <v>45568</v>
      </c>
      <c r="B33" s="1">
        <v>276.86</v>
      </c>
      <c r="C33" s="1">
        <v>452.96</v>
      </c>
      <c r="D33" s="1">
        <v>122.85</v>
      </c>
      <c r="E33" s="1">
        <f t="shared" si="0"/>
        <v>-5.0554292774954786E-4</v>
      </c>
      <c r="F33" s="1">
        <f t="shared" si="0"/>
        <v>-8.1572080339049908E-3</v>
      </c>
      <c r="G33" s="1">
        <f t="shared" si="0"/>
        <v>3.3101905160985295E-2</v>
      </c>
    </row>
    <row r="34" spans="1:17" ht="17" thickBot="1" x14ac:dyDescent="0.25">
      <c r="A34" s="7">
        <v>45569</v>
      </c>
      <c r="B34" s="1">
        <v>277.93</v>
      </c>
      <c r="C34" s="1">
        <v>461.97</v>
      </c>
      <c r="D34" s="1">
        <v>124.92</v>
      </c>
      <c r="E34" s="1">
        <f t="shared" si="0"/>
        <v>3.8573201633167976E-3</v>
      </c>
      <c r="F34" s="1">
        <f t="shared" si="0"/>
        <v>1.9696132544841729E-2</v>
      </c>
      <c r="G34" s="1">
        <f t="shared" si="0"/>
        <v>1.6709433447689864E-2</v>
      </c>
      <c r="I34" s="35" t="s">
        <v>17</v>
      </c>
      <c r="J34" s="35" t="s">
        <v>18</v>
      </c>
      <c r="P34" s="19" t="s">
        <v>21</v>
      </c>
      <c r="Q34" s="59">
        <f>(Q28-Q3)/Q29</f>
        <v>45.795446968505907</v>
      </c>
    </row>
    <row r="35" spans="1:17" ht="17" thickBot="1" x14ac:dyDescent="0.25">
      <c r="A35" s="7">
        <v>45572</v>
      </c>
      <c r="B35" s="1">
        <v>273.79000000000002</v>
      </c>
      <c r="C35" s="1">
        <v>453.5</v>
      </c>
      <c r="D35" s="1">
        <v>127.72</v>
      </c>
      <c r="E35" s="1">
        <f t="shared" si="0"/>
        <v>-1.5007894245034485E-2</v>
      </c>
      <c r="F35" s="1">
        <f t="shared" si="0"/>
        <v>-1.8504684353239955E-2</v>
      </c>
      <c r="G35" s="1">
        <f t="shared" si="0"/>
        <v>2.216683543170344E-2</v>
      </c>
      <c r="I35" s="39">
        <f>I29*J2+J29*J3+K29*J4</f>
        <v>1.1665233833960114E-3</v>
      </c>
      <c r="J35" s="39">
        <f>I35*252</f>
        <v>0.29396389261579486</v>
      </c>
      <c r="P35" s="19" t="s">
        <v>34</v>
      </c>
      <c r="Q35" s="34">
        <v>4</v>
      </c>
    </row>
    <row r="36" spans="1:17" ht="17" thickBot="1" x14ac:dyDescent="0.25">
      <c r="A36" s="7">
        <v>45573</v>
      </c>
      <c r="B36" s="1">
        <v>274.95999999999998</v>
      </c>
      <c r="C36" s="1">
        <v>453.8</v>
      </c>
      <c r="D36" s="1">
        <v>132.88999999999999</v>
      </c>
      <c r="E36" s="1">
        <f t="shared" si="0"/>
        <v>4.2642433637071347E-3</v>
      </c>
      <c r="F36" s="1">
        <f t="shared" si="0"/>
        <v>6.6130279055008569E-4</v>
      </c>
      <c r="G36" s="1">
        <f t="shared" si="0"/>
        <v>3.9681350496835091E-2</v>
      </c>
    </row>
    <row r="37" spans="1:17" x14ac:dyDescent="0.2">
      <c r="A37" s="7">
        <v>45574</v>
      </c>
      <c r="B37" s="1">
        <v>276.93</v>
      </c>
      <c r="C37" s="1">
        <v>455.9</v>
      </c>
      <c r="D37" s="1">
        <v>132.65</v>
      </c>
      <c r="E37" s="1">
        <f t="shared" si="0"/>
        <v>7.1391341285914145E-3</v>
      </c>
      <c r="F37" s="1">
        <f t="shared" si="0"/>
        <v>4.6169148736541973E-3</v>
      </c>
      <c r="G37" s="1">
        <f t="shared" si="0"/>
        <v>-1.8076377596675597E-3</v>
      </c>
      <c r="I37" s="35" t="s">
        <v>19</v>
      </c>
      <c r="J37" s="35" t="s">
        <v>18</v>
      </c>
      <c r="P37" s="88" t="s">
        <v>35</v>
      </c>
      <c r="Q37" s="91">
        <f>(R25^2*R9^2+R26^2*R10^2+2*R25*R26*R9*R10*S9)*252</f>
        <v>2.7830715605000552E-2</v>
      </c>
    </row>
    <row r="38" spans="1:17" ht="17" thickBot="1" x14ac:dyDescent="0.25">
      <c r="A38" s="7">
        <v>45575</v>
      </c>
      <c r="B38" s="1">
        <v>277.47000000000003</v>
      </c>
      <c r="C38" s="1">
        <v>454.93</v>
      </c>
      <c r="D38" s="1">
        <v>134.81</v>
      </c>
      <c r="E38" s="1">
        <f t="shared" si="0"/>
        <v>1.9480525641086958E-3</v>
      </c>
      <c r="F38" s="1">
        <f t="shared" si="0"/>
        <v>-2.1299262578248533E-3</v>
      </c>
      <c r="G38" s="1">
        <f t="shared" si="0"/>
        <v>1.6152299119223994E-2</v>
      </c>
      <c r="I38" s="39">
        <f>SQRT(I32)</f>
        <v>8.5864376267058614E-3</v>
      </c>
      <c r="J38" s="40">
        <f>I38*SQRT(252)</f>
        <v>0.13630547164938819</v>
      </c>
      <c r="P38" s="89"/>
      <c r="Q38" s="92"/>
    </row>
    <row r="39" spans="1:17" ht="17" thickBot="1" x14ac:dyDescent="0.25">
      <c r="A39" s="7">
        <v>45576</v>
      </c>
      <c r="B39" s="1">
        <v>277.83999999999997</v>
      </c>
      <c r="C39" s="1">
        <v>460.21</v>
      </c>
      <c r="D39" s="1">
        <v>134.80000000000001</v>
      </c>
      <c r="E39" s="1">
        <f t="shared" si="0"/>
        <v>1.3325892015401233E-3</v>
      </c>
      <c r="F39" s="1">
        <f t="shared" si="0"/>
        <v>1.1539346086355153E-2</v>
      </c>
      <c r="G39" s="1">
        <f t="shared" si="0"/>
        <v>-7.4181224765981015E-5</v>
      </c>
      <c r="P39" s="90"/>
      <c r="Q39" s="92"/>
    </row>
    <row r="40" spans="1:17" ht="17" thickBot="1" x14ac:dyDescent="0.25">
      <c r="A40" s="7">
        <v>45579</v>
      </c>
      <c r="B40" s="1">
        <v>280.68</v>
      </c>
      <c r="C40" s="1">
        <v>459.98</v>
      </c>
      <c r="D40" s="1">
        <v>138.07</v>
      </c>
      <c r="E40" s="1">
        <f t="shared" si="0"/>
        <v>1.016982194826953E-2</v>
      </c>
      <c r="F40" s="1">
        <f t="shared" si="0"/>
        <v>-4.9989677086179378E-4</v>
      </c>
      <c r="G40" s="1">
        <f t="shared" si="0"/>
        <v>2.3968604449854193E-2</v>
      </c>
      <c r="P40" s="19" t="s">
        <v>19</v>
      </c>
      <c r="Q40" s="60">
        <f>SQRT(Q37)</f>
        <v>0.16682540455518324</v>
      </c>
    </row>
    <row r="41" spans="1:17" ht="17" thickBot="1" x14ac:dyDescent="0.25">
      <c r="A41" s="7">
        <v>45580</v>
      </c>
      <c r="B41" s="1">
        <v>279.29000000000002</v>
      </c>
      <c r="C41" s="1">
        <v>462.68</v>
      </c>
      <c r="D41" s="1">
        <v>131.6</v>
      </c>
      <c r="E41" s="1">
        <f t="shared" si="0"/>
        <v>-4.9645618691303598E-3</v>
      </c>
      <c r="F41" s="1">
        <f t="shared" si="0"/>
        <v>5.8526601501367043E-3</v>
      </c>
      <c r="G41" s="1">
        <f t="shared" si="0"/>
        <v>-4.799378403684413E-2</v>
      </c>
      <c r="P41" s="19" t="s">
        <v>36</v>
      </c>
      <c r="Q41" s="61">
        <f>(Q28-Q3)/(Q35*Q37)</f>
        <v>4.3058182067231963</v>
      </c>
    </row>
    <row r="42" spans="1:17" ht="17" thickBot="1" x14ac:dyDescent="0.25">
      <c r="A42" s="7">
        <v>45581</v>
      </c>
      <c r="B42" s="1">
        <v>287.52</v>
      </c>
      <c r="C42" s="1">
        <v>465.69</v>
      </c>
      <c r="D42" s="1">
        <v>135.72</v>
      </c>
      <c r="E42" s="1">
        <f t="shared" si="0"/>
        <v>2.9041754520291119E-2</v>
      </c>
      <c r="F42" s="1">
        <f t="shared" si="0"/>
        <v>6.4845062792609348E-3</v>
      </c>
      <c r="G42" s="1">
        <f t="shared" si="0"/>
        <v>3.0826921024812545E-2</v>
      </c>
      <c r="P42" s="19" t="s">
        <v>37</v>
      </c>
      <c r="Q42" s="62">
        <f>Q3+Q41*(Q28-Q3)</f>
        <v>2.1043337096635657</v>
      </c>
    </row>
    <row r="43" spans="1:17" ht="17" thickBot="1" x14ac:dyDescent="0.25">
      <c r="A43" s="7">
        <v>45582</v>
      </c>
      <c r="B43" s="1">
        <v>290.39</v>
      </c>
      <c r="C43" s="1">
        <v>465.85</v>
      </c>
      <c r="D43" s="1">
        <v>136.93</v>
      </c>
      <c r="E43" s="1">
        <f t="shared" si="0"/>
        <v>9.932424060776858E-3</v>
      </c>
      <c r="F43" s="1">
        <f t="shared" si="0"/>
        <v>3.4351718997235631E-4</v>
      </c>
      <c r="G43" s="1">
        <f t="shared" si="0"/>
        <v>8.8759064281130479E-3</v>
      </c>
      <c r="P43" s="19" t="s">
        <v>38</v>
      </c>
      <c r="Q43" s="63">
        <f>Q41*SQRT(Q37)</f>
        <v>0.71831986427767081</v>
      </c>
    </row>
    <row r="44" spans="1:17" x14ac:dyDescent="0.2">
      <c r="A44" s="7">
        <v>45583</v>
      </c>
      <c r="B44" s="1">
        <v>290.62</v>
      </c>
      <c r="C44" s="1">
        <v>464.8</v>
      </c>
      <c r="D44" s="1">
        <v>138</v>
      </c>
      <c r="E44" s="1">
        <f t="shared" si="0"/>
        <v>7.9172479652408936E-4</v>
      </c>
      <c r="F44" s="1">
        <f t="shared" si="0"/>
        <v>-2.2564883587325038E-3</v>
      </c>
      <c r="G44" s="1">
        <f t="shared" si="0"/>
        <v>7.7838388130624554E-3</v>
      </c>
      <c r="P44" s="4"/>
    </row>
    <row r="45" spans="1:17" ht="17" thickBot="1" x14ac:dyDescent="0.25">
      <c r="A45" s="7">
        <v>45586</v>
      </c>
      <c r="B45" s="1">
        <v>286.85000000000002</v>
      </c>
      <c r="C45" s="1">
        <v>464.16</v>
      </c>
      <c r="D45" s="1">
        <v>143.71</v>
      </c>
      <c r="E45" s="1">
        <f t="shared" si="0"/>
        <v>-1.3057140844669633E-2</v>
      </c>
      <c r="F45" s="1">
        <f t="shared" si="0"/>
        <v>-1.3778851646075651E-3</v>
      </c>
      <c r="G45" s="1">
        <f t="shared" si="0"/>
        <v>4.0543694928950949E-2</v>
      </c>
    </row>
    <row r="46" spans="1:17" ht="17" thickBot="1" x14ac:dyDescent="0.25">
      <c r="A46" s="7">
        <v>45587</v>
      </c>
      <c r="B46" s="1">
        <v>284.79000000000002</v>
      </c>
      <c r="C46" s="1">
        <v>461.45</v>
      </c>
      <c r="D46" s="1">
        <v>143.59</v>
      </c>
      <c r="E46" s="1">
        <f t="shared" si="0"/>
        <v>-7.2073644860632235E-3</v>
      </c>
      <c r="F46" s="1">
        <f t="shared" si="0"/>
        <v>-5.8556146615082877E-3</v>
      </c>
      <c r="G46" s="1">
        <f t="shared" si="0"/>
        <v>-8.3536377987001502E-4</v>
      </c>
      <c r="P46" s="19" t="s">
        <v>39</v>
      </c>
      <c r="Q46" s="19" t="s">
        <v>42</v>
      </c>
    </row>
    <row r="47" spans="1:17" x14ac:dyDescent="0.2">
      <c r="A47" s="7">
        <v>45588</v>
      </c>
      <c r="B47" s="1">
        <v>283.76</v>
      </c>
      <c r="C47" s="1">
        <v>460.61</v>
      </c>
      <c r="D47" s="1">
        <v>139.56</v>
      </c>
      <c r="E47" s="1">
        <f t="shared" si="0"/>
        <v>-3.6232560964504961E-3</v>
      </c>
      <c r="F47" s="1">
        <f t="shared" si="0"/>
        <v>-1.8220077486927021E-3</v>
      </c>
      <c r="G47" s="1">
        <f t="shared" si="0"/>
        <v>-2.8467399987712163E-2</v>
      </c>
      <c r="P47" s="53" t="s">
        <v>40</v>
      </c>
      <c r="Q47" s="57">
        <f>1-Q41</f>
        <v>-3.3058182067231963</v>
      </c>
    </row>
    <row r="48" spans="1:17" x14ac:dyDescent="0.2">
      <c r="A48" s="7">
        <v>45589</v>
      </c>
      <c r="B48" s="1">
        <v>283.22000000000003</v>
      </c>
      <c r="C48" s="1">
        <v>457.77</v>
      </c>
      <c r="D48" s="1">
        <v>140.41</v>
      </c>
      <c r="E48" s="1">
        <f t="shared" si="0"/>
        <v>-1.9048296704535586E-3</v>
      </c>
      <c r="F48" s="1">
        <f t="shared" si="0"/>
        <v>-6.1848233911390898E-3</v>
      </c>
      <c r="G48" s="1">
        <f t="shared" si="0"/>
        <v>6.0720978079774222E-3</v>
      </c>
      <c r="P48" s="53" t="s">
        <v>1</v>
      </c>
      <c r="Q48" s="57">
        <f>Q41*R25</f>
        <v>4.0455885669036977</v>
      </c>
    </row>
    <row r="49" spans="1:17" ht="17" thickBot="1" x14ac:dyDescent="0.25">
      <c r="A49" s="7">
        <v>45590</v>
      </c>
      <c r="B49" s="1">
        <v>281.73</v>
      </c>
      <c r="C49" s="1">
        <v>454.01</v>
      </c>
      <c r="D49" s="1">
        <v>141.54</v>
      </c>
      <c r="E49" s="1">
        <f t="shared" si="0"/>
        <v>-5.2748153102807884E-3</v>
      </c>
      <c r="F49" s="1">
        <f t="shared" si="0"/>
        <v>-8.2476503412661946E-3</v>
      </c>
      <c r="G49" s="1">
        <f t="shared" si="0"/>
        <v>8.0156485210877634E-3</v>
      </c>
      <c r="P49" s="38" t="s">
        <v>3</v>
      </c>
      <c r="Q49" s="58">
        <f>Q41*R26</f>
        <v>0.26022963981949898</v>
      </c>
    </row>
    <row r="50" spans="1:17" ht="17" thickBot="1" x14ac:dyDescent="0.25">
      <c r="A50" s="7">
        <v>45593</v>
      </c>
      <c r="B50" s="1">
        <v>284.19</v>
      </c>
      <c r="C50" s="1">
        <v>458.49</v>
      </c>
      <c r="D50" s="1">
        <v>140.52000000000001</v>
      </c>
      <c r="E50" s="1">
        <f t="shared" si="0"/>
        <v>8.6938630709208504E-3</v>
      </c>
      <c r="F50" s="1">
        <f t="shared" si="0"/>
        <v>9.819256977367052E-3</v>
      </c>
      <c r="G50" s="1">
        <f t="shared" si="0"/>
        <v>-7.2325352500122939E-3</v>
      </c>
      <c r="P50" s="11" t="s">
        <v>41</v>
      </c>
      <c r="Q50" s="56">
        <f>SUM(Q47:Q49)</f>
        <v>1.0000000000000004</v>
      </c>
    </row>
    <row r="51" spans="1:17" x14ac:dyDescent="0.2">
      <c r="A51" s="7">
        <v>45594</v>
      </c>
      <c r="B51" s="1">
        <v>281.88</v>
      </c>
      <c r="C51" s="1">
        <v>454.62</v>
      </c>
      <c r="D51" s="1">
        <v>141.25</v>
      </c>
      <c r="E51" s="1">
        <f t="shared" si="0"/>
        <v>-8.1615800967310952E-3</v>
      </c>
      <c r="F51" s="1">
        <f t="shared" si="0"/>
        <v>-8.4765760365176513E-3</v>
      </c>
      <c r="G51" s="1">
        <f t="shared" si="0"/>
        <v>5.1815426289240412E-3</v>
      </c>
    </row>
    <row r="52" spans="1:17" x14ac:dyDescent="0.2">
      <c r="A52" s="7">
        <v>45595</v>
      </c>
      <c r="B52" s="1">
        <v>290.16000000000003</v>
      </c>
      <c r="C52" s="1">
        <v>454.96</v>
      </c>
      <c r="D52" s="1">
        <v>139.34</v>
      </c>
      <c r="E52" s="1">
        <f t="shared" si="0"/>
        <v>2.8951046515825286E-2</v>
      </c>
      <c r="F52" s="1">
        <f t="shared" si="0"/>
        <v>7.4759782720718775E-4</v>
      </c>
      <c r="G52" s="1">
        <f t="shared" si="0"/>
        <v>-1.3614380424577415E-2</v>
      </c>
    </row>
    <row r="53" spans="1:17" x14ac:dyDescent="0.2">
      <c r="A53" s="7">
        <v>45596</v>
      </c>
      <c r="B53" s="1">
        <v>289.85000000000002</v>
      </c>
      <c r="C53" s="1">
        <v>450.92</v>
      </c>
      <c r="D53" s="1">
        <v>132.76</v>
      </c>
      <c r="E53" s="1">
        <f t="shared" si="0"/>
        <v>-1.0689471889050444E-3</v>
      </c>
      <c r="F53" s="1">
        <f t="shared" si="0"/>
        <v>-8.9195628222136468E-3</v>
      </c>
      <c r="G53" s="1">
        <f t="shared" si="0"/>
        <v>-4.837400275019902E-2</v>
      </c>
    </row>
    <row r="54" spans="1:17" x14ac:dyDescent="0.2">
      <c r="A54" s="7">
        <v>45597</v>
      </c>
      <c r="B54" s="1">
        <v>290.74</v>
      </c>
      <c r="C54" s="1">
        <v>452.14</v>
      </c>
      <c r="D54" s="1">
        <v>135.4</v>
      </c>
      <c r="E54" s="1">
        <f t="shared" si="0"/>
        <v>3.0658492124368271E-3</v>
      </c>
      <c r="F54" s="1">
        <f t="shared" si="0"/>
        <v>2.7019262113430796E-3</v>
      </c>
      <c r="G54" s="1">
        <f t="shared" si="0"/>
        <v>1.9690373626400793E-2</v>
      </c>
    </row>
    <row r="55" spans="1:17" x14ac:dyDescent="0.2">
      <c r="A55" s="7">
        <v>45600</v>
      </c>
      <c r="B55" s="1">
        <v>291.85000000000002</v>
      </c>
      <c r="C55" s="1">
        <v>442.29</v>
      </c>
      <c r="D55" s="1">
        <v>136.05000000000001</v>
      </c>
      <c r="E55" s="1">
        <f t="shared" si="0"/>
        <v>3.8105746516212489E-3</v>
      </c>
      <c r="F55" s="1">
        <f t="shared" si="0"/>
        <v>-2.2026090857835572E-2</v>
      </c>
      <c r="G55" s="1">
        <f t="shared" si="0"/>
        <v>4.7891047510806297E-3</v>
      </c>
    </row>
    <row r="56" spans="1:17" x14ac:dyDescent="0.2">
      <c r="A56" s="7">
        <v>45601</v>
      </c>
      <c r="B56" s="1">
        <v>293.29000000000002</v>
      </c>
      <c r="C56" s="1">
        <v>445.06</v>
      </c>
      <c r="D56" s="1">
        <v>139.91</v>
      </c>
      <c r="E56" s="1">
        <f t="shared" si="0"/>
        <v>4.9219089688668435E-3</v>
      </c>
      <c r="F56" s="1">
        <f t="shared" si="0"/>
        <v>6.243329008131778E-3</v>
      </c>
      <c r="G56" s="1">
        <f t="shared" si="0"/>
        <v>2.7976893515939023E-2</v>
      </c>
    </row>
    <row r="57" spans="1:17" x14ac:dyDescent="0.2">
      <c r="A57" s="7">
        <v>45602</v>
      </c>
      <c r="B57" s="1">
        <v>307.39999999999998</v>
      </c>
      <c r="C57" s="1">
        <v>468.9</v>
      </c>
      <c r="D57" s="1">
        <v>145.61000000000001</v>
      </c>
      <c r="E57" s="1">
        <f t="shared" si="0"/>
        <v>4.6987950485828482E-2</v>
      </c>
      <c r="F57" s="1">
        <f t="shared" si="0"/>
        <v>5.2180421557570654E-2</v>
      </c>
      <c r="G57" s="1">
        <f t="shared" si="0"/>
        <v>3.993245597761879E-2</v>
      </c>
    </row>
    <row r="58" spans="1:17" x14ac:dyDescent="0.2">
      <c r="A58" s="7">
        <v>45603</v>
      </c>
      <c r="B58" s="1">
        <v>305.8</v>
      </c>
      <c r="C58" s="1">
        <v>460.13</v>
      </c>
      <c r="D58" s="1">
        <v>148.88</v>
      </c>
      <c r="E58" s="1">
        <f t="shared" si="0"/>
        <v>-5.2185376095334355E-3</v>
      </c>
      <c r="F58" s="1">
        <f t="shared" si="0"/>
        <v>-1.8880467843062947E-2</v>
      </c>
      <c r="G58" s="1">
        <f t="shared" si="0"/>
        <v>2.2208797611182083E-2</v>
      </c>
    </row>
    <row r="59" spans="1:17" x14ac:dyDescent="0.2">
      <c r="A59" s="7">
        <v>45604</v>
      </c>
      <c r="B59" s="1">
        <v>307.87</v>
      </c>
      <c r="C59" s="1">
        <v>463.41</v>
      </c>
      <c r="D59" s="1">
        <v>147.63</v>
      </c>
      <c r="E59" s="1">
        <f t="shared" si="0"/>
        <v>6.7463224565761822E-3</v>
      </c>
      <c r="F59" s="1">
        <f t="shared" si="0"/>
        <v>7.1031331417918649E-3</v>
      </c>
      <c r="G59" s="1">
        <f t="shared" si="0"/>
        <v>-8.4314687879987818E-3</v>
      </c>
    </row>
    <row r="60" spans="1:17" x14ac:dyDescent="0.2">
      <c r="A60" s="7">
        <v>45607</v>
      </c>
      <c r="B60" s="1">
        <v>310.92</v>
      </c>
      <c r="C60" s="1">
        <v>467.36</v>
      </c>
      <c r="D60" s="1">
        <v>145.26</v>
      </c>
      <c r="E60" s="1">
        <f t="shared" si="0"/>
        <v>9.8580284104808902E-3</v>
      </c>
      <c r="F60" s="1">
        <f t="shared" si="0"/>
        <v>8.4876472451614129E-3</v>
      </c>
      <c r="G60" s="1">
        <f t="shared" si="0"/>
        <v>-1.618390336797439E-2</v>
      </c>
    </row>
    <row r="61" spans="1:17" x14ac:dyDescent="0.2">
      <c r="A61" s="7">
        <v>45608</v>
      </c>
      <c r="B61" s="1">
        <v>309.85000000000002</v>
      </c>
      <c r="C61" s="1">
        <v>466.29</v>
      </c>
      <c r="D61" s="1">
        <v>148.29</v>
      </c>
      <c r="E61" s="1">
        <f t="shared" si="0"/>
        <v>-3.4473349539024243E-3</v>
      </c>
      <c r="F61" s="1">
        <f t="shared" si="0"/>
        <v>-2.2920804765144734E-3</v>
      </c>
      <c r="G61" s="1">
        <f t="shared" si="0"/>
        <v>2.0644575808955484E-2</v>
      </c>
    </row>
    <row r="62" spans="1:17" x14ac:dyDescent="0.2">
      <c r="A62" s="7">
        <v>45609</v>
      </c>
      <c r="B62" s="1">
        <v>309.48</v>
      </c>
      <c r="C62" s="1">
        <v>468.1</v>
      </c>
      <c r="D62" s="1">
        <v>146.27000000000001</v>
      </c>
      <c r="E62" s="1">
        <f t="shared" si="0"/>
        <v>-1.1948397268627502E-3</v>
      </c>
      <c r="F62" s="1">
        <f t="shared" si="0"/>
        <v>3.8741901431086113E-3</v>
      </c>
      <c r="G62" s="1">
        <f t="shared" si="0"/>
        <v>-1.3715587087980549E-2</v>
      </c>
    </row>
    <row r="63" spans="1:17" x14ac:dyDescent="0.2">
      <c r="A63" s="7">
        <v>45610</v>
      </c>
      <c r="B63" s="1">
        <v>308.25</v>
      </c>
      <c r="C63" s="1">
        <v>467.7</v>
      </c>
      <c r="D63" s="1">
        <v>146.76</v>
      </c>
      <c r="E63" s="1">
        <f t="shared" si="0"/>
        <v>-3.982327636800123E-3</v>
      </c>
      <c r="F63" s="1">
        <f t="shared" si="0"/>
        <v>-8.5488357418445071E-4</v>
      </c>
      <c r="G63" s="1">
        <f t="shared" si="0"/>
        <v>3.3443705880842637E-3</v>
      </c>
    </row>
    <row r="64" spans="1:17" x14ac:dyDescent="0.2">
      <c r="A64" s="7">
        <v>45611</v>
      </c>
      <c r="B64" s="1">
        <v>309.64</v>
      </c>
      <c r="C64" s="1">
        <v>470.28</v>
      </c>
      <c r="D64" s="1">
        <v>141.97999999999999</v>
      </c>
      <c r="E64" s="1">
        <f t="shared" si="0"/>
        <v>4.499190292059029E-3</v>
      </c>
      <c r="F64" s="1">
        <f t="shared" si="0"/>
        <v>5.501197267699761E-3</v>
      </c>
      <c r="G64" s="1">
        <f t="shared" si="0"/>
        <v>-3.3112396875841478E-2</v>
      </c>
    </row>
    <row r="65" spans="1:7" x14ac:dyDescent="0.2">
      <c r="A65" s="7">
        <v>45614</v>
      </c>
      <c r="B65" s="1">
        <v>312.16000000000003</v>
      </c>
      <c r="C65" s="1">
        <v>472.2</v>
      </c>
      <c r="D65" s="1">
        <v>140.15</v>
      </c>
      <c r="E65" s="1">
        <f t="shared" si="0"/>
        <v>8.1055445382886247E-3</v>
      </c>
      <c r="F65" s="1">
        <f t="shared" si="0"/>
        <v>4.07436265187224E-3</v>
      </c>
      <c r="G65" s="1">
        <f t="shared" si="0"/>
        <v>-1.2972925000442384E-2</v>
      </c>
    </row>
    <row r="66" spans="1:7" x14ac:dyDescent="0.2">
      <c r="A66" s="7">
        <v>45615</v>
      </c>
      <c r="B66" s="1">
        <v>311.85000000000002</v>
      </c>
      <c r="C66" s="1">
        <v>468.86</v>
      </c>
      <c r="D66" s="1">
        <v>147.01</v>
      </c>
      <c r="E66" s="1">
        <f t="shared" si="0"/>
        <v>-9.9357390266951919E-4</v>
      </c>
      <c r="F66" s="1">
        <f t="shared" si="0"/>
        <v>-7.0984082300406814E-3</v>
      </c>
      <c r="G66" s="1">
        <f t="shared" si="0"/>
        <v>4.7787334065077465E-2</v>
      </c>
    </row>
    <row r="67" spans="1:7" x14ac:dyDescent="0.2">
      <c r="A67" s="7">
        <v>45616</v>
      </c>
      <c r="B67" s="1">
        <v>307.39</v>
      </c>
      <c r="C67" s="1">
        <v>468.83</v>
      </c>
      <c r="D67" s="1">
        <v>145.88999999999999</v>
      </c>
      <c r="E67" s="1">
        <f t="shared" si="0"/>
        <v>-1.4405003301136728E-2</v>
      </c>
      <c r="F67" s="1">
        <f t="shared" si="0"/>
        <v>-6.3987031983402765E-5</v>
      </c>
      <c r="G67" s="1">
        <f t="shared" si="0"/>
        <v>-7.6476985920707645E-3</v>
      </c>
    </row>
    <row r="68" spans="1:7" x14ac:dyDescent="0.2">
      <c r="A68" s="7">
        <v>45617</v>
      </c>
      <c r="B68" s="1">
        <v>309.89999999999998</v>
      </c>
      <c r="C68" s="1">
        <v>472.06</v>
      </c>
      <c r="D68" s="1">
        <v>146.66999999999999</v>
      </c>
      <c r="E68" s="1">
        <f t="shared" ref="E68:G127" si="2">LN(B68/B67)</f>
        <v>8.132365122707555E-3</v>
      </c>
      <c r="F68" s="1">
        <f t="shared" si="2"/>
        <v>6.8658667613445941E-3</v>
      </c>
      <c r="G68" s="1">
        <f t="shared" si="2"/>
        <v>5.3322521748597551E-3</v>
      </c>
    </row>
    <row r="69" spans="1:7" x14ac:dyDescent="0.2">
      <c r="A69" s="7">
        <v>45618</v>
      </c>
      <c r="B69" s="1">
        <v>309.92</v>
      </c>
      <c r="C69" s="1">
        <v>476.57</v>
      </c>
      <c r="D69" s="1">
        <v>141.94999999999999</v>
      </c>
      <c r="E69" s="1">
        <f t="shared" si="2"/>
        <v>6.4534864983409554E-5</v>
      </c>
      <c r="F69" s="1">
        <f t="shared" si="2"/>
        <v>9.5085206661798E-3</v>
      </c>
      <c r="G69" s="1">
        <f t="shared" si="2"/>
        <v>-3.2710282339683691E-2</v>
      </c>
    </row>
    <row r="70" spans="1:7" x14ac:dyDescent="0.2">
      <c r="A70" s="7">
        <v>45621</v>
      </c>
      <c r="B70" s="1">
        <v>313.19</v>
      </c>
      <c r="C70" s="1">
        <v>477.43</v>
      </c>
      <c r="D70" s="1">
        <v>136.02000000000001</v>
      </c>
      <c r="E70" s="1">
        <f t="shared" si="2"/>
        <v>1.0495835468033081E-2</v>
      </c>
      <c r="F70" s="1">
        <f t="shared" si="2"/>
        <v>1.8029354988636859E-3</v>
      </c>
      <c r="G70" s="1">
        <f t="shared" si="2"/>
        <v>-4.267294917148743E-2</v>
      </c>
    </row>
    <row r="71" spans="1:7" x14ac:dyDescent="0.2">
      <c r="A71" s="7">
        <v>45622</v>
      </c>
      <c r="B71" s="1">
        <v>311.82</v>
      </c>
      <c r="C71" s="1">
        <v>478.56</v>
      </c>
      <c r="D71" s="1">
        <v>136.91999999999999</v>
      </c>
      <c r="E71" s="1">
        <f t="shared" si="2"/>
        <v>-4.3839368783134686E-3</v>
      </c>
      <c r="F71" s="1">
        <f t="shared" si="2"/>
        <v>2.3640425658614838E-3</v>
      </c>
      <c r="G71" s="1">
        <f t="shared" si="2"/>
        <v>6.594879914491771E-3</v>
      </c>
    </row>
    <row r="72" spans="1:7" x14ac:dyDescent="0.2">
      <c r="A72" s="7">
        <v>45623</v>
      </c>
      <c r="B72" s="1">
        <v>314.7</v>
      </c>
      <c r="C72" s="1">
        <v>483.08</v>
      </c>
      <c r="D72" s="1">
        <v>135.34</v>
      </c>
      <c r="E72" s="1">
        <f t="shared" si="2"/>
        <v>9.1937058219556753E-3</v>
      </c>
      <c r="F72" s="1">
        <f t="shared" si="2"/>
        <v>9.4006765255365103E-3</v>
      </c>
      <c r="G72" s="1">
        <f t="shared" si="2"/>
        <v>-1.1606682857905002E-2</v>
      </c>
    </row>
    <row r="73" spans="1:7" x14ac:dyDescent="0.2">
      <c r="A73" s="7">
        <v>45625</v>
      </c>
      <c r="B73" s="1">
        <v>315.08</v>
      </c>
      <c r="C73" s="1">
        <v>483.02</v>
      </c>
      <c r="D73" s="1">
        <v>138.25</v>
      </c>
      <c r="E73" s="1">
        <f t="shared" si="2"/>
        <v>1.2067707647623604E-3</v>
      </c>
      <c r="F73" s="1">
        <f t="shared" si="2"/>
        <v>-1.242107443890648E-4</v>
      </c>
      <c r="G73" s="1">
        <f t="shared" si="2"/>
        <v>2.1273509598364767E-2</v>
      </c>
    </row>
    <row r="74" spans="1:7" x14ac:dyDescent="0.2">
      <c r="A74" s="7">
        <v>45628</v>
      </c>
      <c r="B74" s="1">
        <v>316.64999999999998</v>
      </c>
      <c r="C74" s="1">
        <v>477.33</v>
      </c>
      <c r="D74" s="1">
        <v>138.63</v>
      </c>
      <c r="E74" s="1">
        <f t="shared" si="2"/>
        <v>4.9704881273157355E-3</v>
      </c>
      <c r="F74" s="1">
        <f t="shared" si="2"/>
        <v>-1.1849985074910561E-2</v>
      </c>
      <c r="G74" s="1">
        <f t="shared" si="2"/>
        <v>2.7448731478405524E-3</v>
      </c>
    </row>
    <row r="75" spans="1:7" x14ac:dyDescent="0.2">
      <c r="A75" s="7">
        <v>45629</v>
      </c>
      <c r="B75" s="1">
        <v>313.01</v>
      </c>
      <c r="C75" s="1">
        <v>470.19</v>
      </c>
      <c r="D75" s="1">
        <v>140.26</v>
      </c>
      <c r="E75" s="1">
        <f t="shared" si="2"/>
        <v>-1.1561924050851526E-2</v>
      </c>
      <c r="F75" s="1">
        <f t="shared" si="2"/>
        <v>-1.5071207253788355E-2</v>
      </c>
      <c r="G75" s="1">
        <f t="shared" si="2"/>
        <v>1.1689329558479629E-2</v>
      </c>
    </row>
    <row r="76" spans="1:7" x14ac:dyDescent="0.2">
      <c r="A76" s="7">
        <v>45630</v>
      </c>
      <c r="B76" s="1">
        <v>309.89999999999998</v>
      </c>
      <c r="C76" s="1">
        <v>468.32</v>
      </c>
      <c r="D76" s="1">
        <v>145.13999999999999</v>
      </c>
      <c r="E76" s="1">
        <f t="shared" si="2"/>
        <v>-9.9854741178852131E-3</v>
      </c>
      <c r="F76" s="1">
        <f t="shared" si="2"/>
        <v>-3.9850453905107856E-3</v>
      </c>
      <c r="G76" s="1">
        <f t="shared" si="2"/>
        <v>3.4200950741226366E-2</v>
      </c>
    </row>
    <row r="77" spans="1:7" x14ac:dyDescent="0.2">
      <c r="A77" s="7">
        <v>45631</v>
      </c>
      <c r="B77" s="1">
        <v>309.08</v>
      </c>
      <c r="C77" s="1">
        <v>470.57</v>
      </c>
      <c r="D77" s="1">
        <v>145.06</v>
      </c>
      <c r="E77" s="1">
        <f t="shared" si="2"/>
        <v>-2.6495217283194349E-3</v>
      </c>
      <c r="F77" s="1">
        <f t="shared" si="2"/>
        <v>4.7929029113804632E-3</v>
      </c>
      <c r="G77" s="1">
        <f t="shared" si="2"/>
        <v>-5.5134391472441149E-4</v>
      </c>
    </row>
    <row r="78" spans="1:7" x14ac:dyDescent="0.2">
      <c r="A78" s="7">
        <v>45632</v>
      </c>
      <c r="B78" s="1">
        <v>311.01</v>
      </c>
      <c r="C78" s="1">
        <v>470.5</v>
      </c>
      <c r="D78" s="1">
        <v>142.44</v>
      </c>
      <c r="E78" s="1">
        <f t="shared" si="2"/>
        <v>6.2249229377474118E-3</v>
      </c>
      <c r="F78" s="1">
        <f t="shared" si="2"/>
        <v>-1.4876682952192009E-4</v>
      </c>
      <c r="G78" s="1">
        <f t="shared" si="2"/>
        <v>-1.8226591525689419E-2</v>
      </c>
    </row>
    <row r="79" spans="1:7" x14ac:dyDescent="0.2">
      <c r="A79" s="7">
        <v>45635</v>
      </c>
      <c r="B79" s="1">
        <v>308.3</v>
      </c>
      <c r="C79" s="1">
        <v>463.87</v>
      </c>
      <c r="D79" s="1">
        <v>138.81</v>
      </c>
      <c r="E79" s="1">
        <f t="shared" si="2"/>
        <v>-8.7517311110256735E-3</v>
      </c>
      <c r="F79" s="1">
        <f t="shared" si="2"/>
        <v>-1.4191618468595289E-2</v>
      </c>
      <c r="G79" s="1">
        <f t="shared" si="2"/>
        <v>-2.5814766822559045E-2</v>
      </c>
    </row>
    <row r="80" spans="1:7" x14ac:dyDescent="0.2">
      <c r="A80" s="7">
        <v>45636</v>
      </c>
      <c r="B80" s="1">
        <v>312.38</v>
      </c>
      <c r="C80" s="1">
        <v>462.49</v>
      </c>
      <c r="D80" s="1">
        <v>135.07</v>
      </c>
      <c r="E80" s="1">
        <f t="shared" si="2"/>
        <v>1.3147060537471628E-2</v>
      </c>
      <c r="F80" s="1">
        <f t="shared" si="2"/>
        <v>-2.9794054597314457E-3</v>
      </c>
      <c r="G80" s="1">
        <f t="shared" si="2"/>
        <v>-2.731292901434523E-2</v>
      </c>
    </row>
    <row r="81" spans="1:7" x14ac:dyDescent="0.2">
      <c r="A81" s="7">
        <v>45637</v>
      </c>
      <c r="B81" s="1">
        <v>313.79000000000002</v>
      </c>
      <c r="C81" s="1">
        <v>461.39</v>
      </c>
      <c r="D81" s="1">
        <v>139.31</v>
      </c>
      <c r="E81" s="1">
        <f t="shared" si="2"/>
        <v>4.5035769300935556E-3</v>
      </c>
      <c r="F81" s="1">
        <f t="shared" si="2"/>
        <v>-2.3812627609381479E-3</v>
      </c>
      <c r="G81" s="1">
        <f t="shared" si="2"/>
        <v>3.0908503145460821E-2</v>
      </c>
    </row>
    <row r="82" spans="1:7" x14ac:dyDescent="0.2">
      <c r="A82" s="7">
        <v>45638</v>
      </c>
      <c r="B82" s="1">
        <v>314.23</v>
      </c>
      <c r="C82" s="1">
        <v>458.63</v>
      </c>
      <c r="D82" s="1">
        <v>137.34</v>
      </c>
      <c r="E82" s="1">
        <f t="shared" si="2"/>
        <v>1.4012294894841845E-3</v>
      </c>
      <c r="F82" s="1">
        <f t="shared" si="2"/>
        <v>-5.9998875669762097E-3</v>
      </c>
      <c r="G82" s="1">
        <f t="shared" si="2"/>
        <v>-1.4242062525603194E-2</v>
      </c>
    </row>
    <row r="83" spans="1:7" x14ac:dyDescent="0.2">
      <c r="A83" s="7">
        <v>45639</v>
      </c>
      <c r="B83" s="1">
        <v>314.74</v>
      </c>
      <c r="C83" s="1">
        <v>457.9</v>
      </c>
      <c r="D83" s="1">
        <v>134.25</v>
      </c>
      <c r="E83" s="1">
        <f t="shared" si="2"/>
        <v>1.621699323564349E-3</v>
      </c>
      <c r="F83" s="1">
        <f t="shared" si="2"/>
        <v>-1.5929651061435659E-3</v>
      </c>
      <c r="G83" s="1">
        <f t="shared" si="2"/>
        <v>-2.2755869803556265E-2</v>
      </c>
    </row>
    <row r="84" spans="1:7" x14ac:dyDescent="0.2">
      <c r="A84" s="7">
        <v>45642</v>
      </c>
      <c r="B84" s="1">
        <v>315.89</v>
      </c>
      <c r="C84" s="1">
        <v>455.2</v>
      </c>
      <c r="D84" s="1">
        <v>132</v>
      </c>
      <c r="E84" s="1">
        <f t="shared" si="2"/>
        <v>3.6471505470612145E-3</v>
      </c>
      <c r="F84" s="1">
        <f t="shared" si="2"/>
        <v>-5.9139368509285618E-3</v>
      </c>
      <c r="G84" s="1">
        <f t="shared" si="2"/>
        <v>-1.6901810802603254E-2</v>
      </c>
    </row>
    <row r="85" spans="1:7" x14ac:dyDescent="0.2">
      <c r="A85" s="7">
        <v>45643</v>
      </c>
      <c r="B85" s="1">
        <v>318.3</v>
      </c>
      <c r="C85" s="1">
        <v>455.66</v>
      </c>
      <c r="D85" s="1">
        <v>130.38999999999999</v>
      </c>
      <c r="E85" s="1">
        <f t="shared" si="2"/>
        <v>7.6002825682674633E-3</v>
      </c>
      <c r="F85" s="1">
        <f t="shared" si="2"/>
        <v>1.0100345587830063E-3</v>
      </c>
      <c r="G85" s="1">
        <f t="shared" si="2"/>
        <v>-1.2271963150990077E-2</v>
      </c>
    </row>
    <row r="86" spans="1:7" x14ac:dyDescent="0.2">
      <c r="A86" s="7">
        <v>45644</v>
      </c>
      <c r="B86" s="1">
        <v>309.77999999999997</v>
      </c>
      <c r="C86" s="1">
        <v>446.59</v>
      </c>
      <c r="D86" s="1">
        <v>128.91</v>
      </c>
      <c r="E86" s="1">
        <f t="shared" si="2"/>
        <v>-2.7131966168434486E-2</v>
      </c>
      <c r="F86" s="1">
        <f t="shared" si="2"/>
        <v>-2.0105969617239653E-2</v>
      </c>
      <c r="G86" s="1">
        <f t="shared" si="2"/>
        <v>-1.1415472980367396E-2</v>
      </c>
    </row>
    <row r="87" spans="1:7" x14ac:dyDescent="0.2">
      <c r="A87" s="7">
        <v>45645</v>
      </c>
      <c r="B87" s="1">
        <v>314.88</v>
      </c>
      <c r="C87" s="1">
        <v>449.34</v>
      </c>
      <c r="D87" s="1">
        <v>130.68</v>
      </c>
      <c r="E87" s="1">
        <f t="shared" si="2"/>
        <v>1.6329245744276008E-2</v>
      </c>
      <c r="F87" s="1">
        <f t="shared" si="2"/>
        <v>6.1388917356660997E-3</v>
      </c>
      <c r="G87" s="1">
        <f t="shared" si="2"/>
        <v>1.3637100277856131E-2</v>
      </c>
    </row>
    <row r="88" spans="1:7" x14ac:dyDescent="0.2">
      <c r="A88" s="7">
        <v>45646</v>
      </c>
      <c r="B88" s="1">
        <v>317.70999999999998</v>
      </c>
      <c r="C88" s="1">
        <v>453.2</v>
      </c>
      <c r="D88" s="1">
        <v>134.69999999999999</v>
      </c>
      <c r="E88" s="1">
        <f t="shared" si="2"/>
        <v>8.9474031516578421E-3</v>
      </c>
      <c r="F88" s="1">
        <f t="shared" si="2"/>
        <v>8.5536896645204662E-3</v>
      </c>
      <c r="G88" s="1">
        <f t="shared" si="2"/>
        <v>3.0298496683448778E-2</v>
      </c>
    </row>
    <row r="89" spans="1:7" x14ac:dyDescent="0.2">
      <c r="A89" s="7">
        <v>45649</v>
      </c>
      <c r="B89" s="1">
        <v>317.22000000000003</v>
      </c>
      <c r="C89" s="1">
        <v>454.35</v>
      </c>
      <c r="D89" s="1">
        <v>139.66999999999999</v>
      </c>
      <c r="E89" s="1">
        <f t="shared" si="2"/>
        <v>-1.5434775401324263E-3</v>
      </c>
      <c r="F89" s="1">
        <f t="shared" si="2"/>
        <v>2.5342969875047335E-3</v>
      </c>
      <c r="G89" s="1">
        <f t="shared" si="2"/>
        <v>3.6232413901361615E-2</v>
      </c>
    </row>
    <row r="90" spans="1:7" x14ac:dyDescent="0.2">
      <c r="A90" s="7">
        <v>45650</v>
      </c>
      <c r="B90" s="1">
        <v>320.64999999999998</v>
      </c>
      <c r="C90" s="1">
        <v>458.66</v>
      </c>
      <c r="D90" s="1">
        <v>140.22</v>
      </c>
      <c r="E90" s="1">
        <f t="shared" si="2"/>
        <v>1.0754646119457822E-2</v>
      </c>
      <c r="F90" s="1">
        <f t="shared" si="2"/>
        <v>9.4413686944698066E-3</v>
      </c>
      <c r="G90" s="1">
        <f t="shared" si="2"/>
        <v>3.9301204611417624E-3</v>
      </c>
    </row>
    <row r="91" spans="1:7" x14ac:dyDescent="0.2">
      <c r="A91" s="7">
        <v>45652</v>
      </c>
      <c r="B91" s="1">
        <v>320.91000000000003</v>
      </c>
      <c r="C91" s="1">
        <v>459.08</v>
      </c>
      <c r="D91" s="1">
        <v>139.93</v>
      </c>
      <c r="E91" s="1">
        <f t="shared" si="2"/>
        <v>8.1052439127727487E-4</v>
      </c>
      <c r="F91" s="1">
        <f t="shared" si="2"/>
        <v>9.1529197664151456E-4</v>
      </c>
      <c r="G91" s="1">
        <f t="shared" si="2"/>
        <v>-2.070320211199508E-3</v>
      </c>
    </row>
    <row r="92" spans="1:7" x14ac:dyDescent="0.2">
      <c r="A92" s="7">
        <v>45653</v>
      </c>
      <c r="B92" s="1">
        <v>318.66000000000003</v>
      </c>
      <c r="C92" s="1">
        <v>456.51</v>
      </c>
      <c r="D92" s="1">
        <v>137.01</v>
      </c>
      <c r="E92" s="1">
        <f t="shared" si="2"/>
        <v>-7.0360063237863953E-3</v>
      </c>
      <c r="F92" s="1">
        <f t="shared" si="2"/>
        <v>-5.6138812123347932E-3</v>
      </c>
      <c r="G92" s="1">
        <f t="shared" si="2"/>
        <v>-2.1088381702604804E-2</v>
      </c>
    </row>
    <row r="93" spans="1:7" x14ac:dyDescent="0.2">
      <c r="A93" s="7">
        <v>45656</v>
      </c>
      <c r="B93" s="1">
        <v>315.31</v>
      </c>
      <c r="C93" s="1">
        <v>452.16</v>
      </c>
      <c r="D93" s="1">
        <v>137.49</v>
      </c>
      <c r="E93" s="1">
        <f t="shared" si="2"/>
        <v>-1.0568421788086644E-2</v>
      </c>
      <c r="F93" s="1">
        <f t="shared" si="2"/>
        <v>-9.5745061039702057E-3</v>
      </c>
      <c r="G93" s="1">
        <f t="shared" si="2"/>
        <v>3.4972713241252736E-3</v>
      </c>
    </row>
    <row r="94" spans="1:7" x14ac:dyDescent="0.2">
      <c r="A94" s="7">
        <v>45657</v>
      </c>
      <c r="B94" s="1">
        <v>316.04000000000002</v>
      </c>
      <c r="C94" s="1">
        <v>453.28</v>
      </c>
      <c r="D94" s="1">
        <v>134.29</v>
      </c>
      <c r="E94" s="1">
        <f t="shared" si="2"/>
        <v>2.3125059802563235E-3</v>
      </c>
      <c r="F94" s="1">
        <f t="shared" si="2"/>
        <v>2.4739365860436168E-3</v>
      </c>
      <c r="G94" s="1">
        <f t="shared" si="2"/>
        <v>-2.3549546596058561E-2</v>
      </c>
    </row>
    <row r="95" spans="1:7" x14ac:dyDescent="0.2">
      <c r="A95" s="7">
        <v>45659</v>
      </c>
      <c r="B95" s="1">
        <v>314.39999999999998</v>
      </c>
      <c r="C95" s="1">
        <v>451.1</v>
      </c>
      <c r="D95" s="1">
        <v>138.31</v>
      </c>
      <c r="E95" s="1">
        <f t="shared" si="2"/>
        <v>-5.2027272994811698E-3</v>
      </c>
      <c r="F95" s="1">
        <f t="shared" si="2"/>
        <v>-4.8209916678560866E-3</v>
      </c>
      <c r="G95" s="1">
        <f t="shared" si="2"/>
        <v>2.9495902043532696E-2</v>
      </c>
    </row>
    <row r="96" spans="1:7" x14ac:dyDescent="0.2">
      <c r="A96" s="7">
        <v>45660</v>
      </c>
      <c r="B96" s="1">
        <v>314.91000000000003</v>
      </c>
      <c r="C96" s="1">
        <v>453.56</v>
      </c>
      <c r="D96" s="1">
        <v>144.47</v>
      </c>
      <c r="E96" s="1">
        <f t="shared" si="2"/>
        <v>1.6208231607648012E-3</v>
      </c>
      <c r="F96" s="1">
        <f t="shared" si="2"/>
        <v>5.4385206892888322E-3</v>
      </c>
      <c r="G96" s="1">
        <f t="shared" si="2"/>
        <v>4.3574330904673421E-2</v>
      </c>
    </row>
    <row r="97" spans="1:7" x14ac:dyDescent="0.2">
      <c r="A97" s="7">
        <v>45663</v>
      </c>
      <c r="B97" s="1">
        <v>313.04000000000002</v>
      </c>
      <c r="C97" s="1">
        <v>451.41</v>
      </c>
      <c r="D97" s="1">
        <v>149.43</v>
      </c>
      <c r="E97" s="1">
        <f t="shared" si="2"/>
        <v>-5.9559058136590239E-3</v>
      </c>
      <c r="F97" s="1">
        <f t="shared" si="2"/>
        <v>-4.7515476647425753E-3</v>
      </c>
      <c r="G97" s="1">
        <f t="shared" si="2"/>
        <v>3.3756182212011883E-2</v>
      </c>
    </row>
    <row r="98" spans="1:7" x14ac:dyDescent="0.2">
      <c r="A98" s="7">
        <v>45664</v>
      </c>
      <c r="B98" s="1">
        <v>311.67</v>
      </c>
      <c r="C98" s="1">
        <v>452.92</v>
      </c>
      <c r="D98" s="1">
        <v>140.13999999999999</v>
      </c>
      <c r="E98" s="1">
        <f t="shared" si="2"/>
        <v>-4.3860421516070357E-3</v>
      </c>
      <c r="F98" s="1">
        <f t="shared" si="2"/>
        <v>3.3394920069422739E-3</v>
      </c>
      <c r="G98" s="1">
        <f t="shared" si="2"/>
        <v>-6.4186132810914065E-2</v>
      </c>
    </row>
    <row r="99" spans="1:7" x14ac:dyDescent="0.2">
      <c r="A99" s="7">
        <v>45665</v>
      </c>
      <c r="B99" s="1">
        <v>312.60000000000002</v>
      </c>
      <c r="C99" s="1">
        <v>451.84</v>
      </c>
      <c r="D99" s="1">
        <v>140.11000000000001</v>
      </c>
      <c r="E99" s="1">
        <f t="shared" si="2"/>
        <v>2.9794822368261996E-3</v>
      </c>
      <c r="F99" s="1">
        <f t="shared" si="2"/>
        <v>-2.3873745810162991E-3</v>
      </c>
      <c r="G99" s="1">
        <f t="shared" si="2"/>
        <v>-2.140945592475461E-4</v>
      </c>
    </row>
    <row r="100" spans="1:7" x14ac:dyDescent="0.2">
      <c r="A100" s="7">
        <v>45667</v>
      </c>
      <c r="B100" s="1">
        <v>307.70999999999998</v>
      </c>
      <c r="C100" s="1">
        <v>442.66</v>
      </c>
      <c r="D100" s="1">
        <v>135.91</v>
      </c>
      <c r="E100" s="1">
        <f t="shared" si="2"/>
        <v>-1.5766636999947115E-2</v>
      </c>
      <c r="F100" s="1">
        <f t="shared" si="2"/>
        <v>-2.0526153850923452E-2</v>
      </c>
      <c r="G100" s="1">
        <f t="shared" si="2"/>
        <v>-3.0434926415884248E-2</v>
      </c>
    </row>
    <row r="101" spans="1:7" x14ac:dyDescent="0.2">
      <c r="A101" s="7">
        <v>45670</v>
      </c>
      <c r="B101" s="1">
        <v>306.92</v>
      </c>
      <c r="C101" s="1">
        <v>443.91</v>
      </c>
      <c r="D101" s="1">
        <v>133.22999999999999</v>
      </c>
      <c r="E101" s="1">
        <f t="shared" si="2"/>
        <v>-2.5706536779646588E-3</v>
      </c>
      <c r="F101" s="1">
        <f t="shared" si="2"/>
        <v>2.8198581686533896E-3</v>
      </c>
      <c r="G101" s="1">
        <f t="shared" si="2"/>
        <v>-1.9915943995135368E-2</v>
      </c>
    </row>
    <row r="102" spans="1:7" x14ac:dyDescent="0.2">
      <c r="A102" s="7">
        <v>45671</v>
      </c>
      <c r="B102" s="1">
        <v>309.08999999999997</v>
      </c>
      <c r="C102" s="1">
        <v>450.03</v>
      </c>
      <c r="D102" s="1">
        <v>131.76</v>
      </c>
      <c r="E102" s="1">
        <f t="shared" si="2"/>
        <v>7.0453693156216314E-3</v>
      </c>
      <c r="F102" s="1">
        <f t="shared" si="2"/>
        <v>1.3692408026355881E-2</v>
      </c>
      <c r="G102" s="1">
        <f t="shared" si="2"/>
        <v>-1.1094872102735659E-2</v>
      </c>
    </row>
    <row r="103" spans="1:7" x14ac:dyDescent="0.2">
      <c r="A103" s="7">
        <v>45672</v>
      </c>
      <c r="B103" s="1">
        <v>316.27999999999997</v>
      </c>
      <c r="C103" s="1">
        <v>458.51</v>
      </c>
      <c r="D103" s="1">
        <v>136.24</v>
      </c>
      <c r="E103" s="1">
        <f t="shared" si="2"/>
        <v>2.2995400577639869E-2</v>
      </c>
      <c r="F103" s="1">
        <f t="shared" si="2"/>
        <v>1.8667854500588853E-2</v>
      </c>
      <c r="G103" s="1">
        <f t="shared" si="2"/>
        <v>3.3435950485048091E-2</v>
      </c>
    </row>
    <row r="104" spans="1:7" x14ac:dyDescent="0.2">
      <c r="A104" s="7">
        <v>45673</v>
      </c>
      <c r="B104" s="1">
        <v>317.25</v>
      </c>
      <c r="C104" s="1">
        <v>462.81</v>
      </c>
      <c r="D104" s="1">
        <v>133.57</v>
      </c>
      <c r="E104" s="1">
        <f t="shared" si="2"/>
        <v>3.0622093917707467E-3</v>
      </c>
      <c r="F104" s="1">
        <f t="shared" si="2"/>
        <v>9.3345009824605165E-3</v>
      </c>
      <c r="G104" s="1">
        <f t="shared" si="2"/>
        <v>-1.9792351365419E-2</v>
      </c>
    </row>
    <row r="105" spans="1:7" x14ac:dyDescent="0.2">
      <c r="A105" s="7">
        <v>45674</v>
      </c>
      <c r="B105" s="1">
        <v>319.62</v>
      </c>
      <c r="C105" s="1">
        <v>467.95</v>
      </c>
      <c r="D105" s="1">
        <v>137.71</v>
      </c>
      <c r="E105" s="1">
        <f t="shared" si="2"/>
        <v>7.4426835624656767E-3</v>
      </c>
      <c r="F105" s="1">
        <f t="shared" si="2"/>
        <v>1.104484991130757E-2</v>
      </c>
      <c r="G105" s="1">
        <f t="shared" si="2"/>
        <v>3.0524339750020613E-2</v>
      </c>
    </row>
    <row r="106" spans="1:7" x14ac:dyDescent="0.2">
      <c r="A106" s="7">
        <v>45678</v>
      </c>
      <c r="B106" s="1">
        <v>323.63</v>
      </c>
      <c r="C106" s="1">
        <v>468.57</v>
      </c>
      <c r="D106" s="1">
        <v>140.83000000000001</v>
      </c>
      <c r="E106" s="1">
        <f t="shared" si="2"/>
        <v>1.2468097776076624E-2</v>
      </c>
      <c r="F106" s="1">
        <f t="shared" si="2"/>
        <v>1.3240509344752034E-3</v>
      </c>
      <c r="G106" s="1">
        <f t="shared" si="2"/>
        <v>2.2403464470924412E-2</v>
      </c>
    </row>
    <row r="107" spans="1:7" x14ac:dyDescent="0.2">
      <c r="A107" s="7">
        <v>45679</v>
      </c>
      <c r="B107" s="1">
        <v>323.56</v>
      </c>
      <c r="C107" s="1">
        <v>460.51</v>
      </c>
      <c r="D107" s="1">
        <v>147.07</v>
      </c>
      <c r="E107" s="1">
        <f t="shared" si="2"/>
        <v>-2.1631978328758169E-4</v>
      </c>
      <c r="F107" s="1">
        <f t="shared" si="2"/>
        <v>-1.7350932551556383E-2</v>
      </c>
      <c r="G107" s="1">
        <f t="shared" si="2"/>
        <v>4.3355174702263348E-2</v>
      </c>
    </row>
    <row r="108" spans="1:7" x14ac:dyDescent="0.2">
      <c r="A108" s="7">
        <v>45680</v>
      </c>
      <c r="B108" s="1">
        <v>328.21</v>
      </c>
      <c r="C108" s="1">
        <v>459.83</v>
      </c>
      <c r="D108" s="1">
        <v>147.22</v>
      </c>
      <c r="E108" s="1">
        <f t="shared" si="2"/>
        <v>1.426907926814289E-2</v>
      </c>
      <c r="F108" s="1">
        <f t="shared" si="2"/>
        <v>-1.4777150264895524E-3</v>
      </c>
      <c r="G108" s="1">
        <f t="shared" si="2"/>
        <v>1.0194027183375537E-3</v>
      </c>
    </row>
    <row r="109" spans="1:7" x14ac:dyDescent="0.2">
      <c r="A109" s="7">
        <v>45681</v>
      </c>
      <c r="B109" s="1">
        <v>330.2</v>
      </c>
      <c r="C109" s="1">
        <v>463.19</v>
      </c>
      <c r="D109" s="1">
        <v>142.62</v>
      </c>
      <c r="E109" s="1">
        <f t="shared" si="2"/>
        <v>6.0448840681328339E-3</v>
      </c>
      <c r="F109" s="1">
        <f t="shared" si="2"/>
        <v>7.2804811195866029E-3</v>
      </c>
      <c r="G109" s="1">
        <f t="shared" si="2"/>
        <v>-3.1744316030402252E-2</v>
      </c>
    </row>
    <row r="110" spans="1:7" x14ac:dyDescent="0.2">
      <c r="A110" s="7">
        <v>45684</v>
      </c>
      <c r="B110" s="1">
        <v>334.54</v>
      </c>
      <c r="C110" s="1">
        <v>474.7</v>
      </c>
      <c r="D110" s="1">
        <v>118.42</v>
      </c>
      <c r="E110" s="1">
        <f t="shared" si="2"/>
        <v>1.3057922397835172E-2</v>
      </c>
      <c r="F110" s="1">
        <f t="shared" si="2"/>
        <v>2.4545688477990827E-2</v>
      </c>
      <c r="G110" s="1">
        <f t="shared" si="2"/>
        <v>-0.18594612349652748</v>
      </c>
    </row>
    <row r="111" spans="1:7" x14ac:dyDescent="0.2">
      <c r="A111" s="7">
        <v>45685</v>
      </c>
      <c r="B111" s="1">
        <v>334.48</v>
      </c>
      <c r="C111" s="1">
        <v>469.97</v>
      </c>
      <c r="D111" s="1">
        <v>128.99</v>
      </c>
      <c r="E111" s="1">
        <f t="shared" si="2"/>
        <v>-1.7936683555308115E-4</v>
      </c>
      <c r="F111" s="1">
        <f t="shared" si="2"/>
        <v>-1.0014162677609621E-2</v>
      </c>
      <c r="G111" s="1">
        <f t="shared" si="2"/>
        <v>8.5497254873414752E-2</v>
      </c>
    </row>
    <row r="112" spans="1:7" x14ac:dyDescent="0.2">
      <c r="A112" s="7">
        <v>45686</v>
      </c>
      <c r="B112" s="1">
        <v>335.88</v>
      </c>
      <c r="C112" s="1">
        <v>469.26</v>
      </c>
      <c r="D112" s="1">
        <v>123.7</v>
      </c>
      <c r="E112" s="1">
        <f t="shared" si="2"/>
        <v>4.1768662670528299E-3</v>
      </c>
      <c r="F112" s="1">
        <f t="shared" si="2"/>
        <v>-1.5118770380876882E-3</v>
      </c>
      <c r="G112" s="1">
        <f t="shared" si="2"/>
        <v>-4.1875602578602553E-2</v>
      </c>
    </row>
    <row r="113" spans="1:7" x14ac:dyDescent="0.2">
      <c r="A113" s="7">
        <v>45687</v>
      </c>
      <c r="B113" s="1">
        <v>343.05</v>
      </c>
      <c r="C113" s="1">
        <v>472.35</v>
      </c>
      <c r="D113" s="1">
        <v>124.65</v>
      </c>
      <c r="E113" s="1">
        <f t="shared" si="2"/>
        <v>2.1122255821537345E-2</v>
      </c>
      <c r="F113" s="1">
        <f t="shared" si="2"/>
        <v>6.5632503735684345E-3</v>
      </c>
      <c r="G113" s="1">
        <f t="shared" si="2"/>
        <v>7.6505305711246667E-3</v>
      </c>
    </row>
    <row r="114" spans="1:7" x14ac:dyDescent="0.2">
      <c r="A114" s="7">
        <v>45688</v>
      </c>
      <c r="B114" s="1">
        <v>341.8</v>
      </c>
      <c r="C114" s="1">
        <v>468.67</v>
      </c>
      <c r="D114" s="1">
        <v>120.07</v>
      </c>
      <c r="E114" s="1">
        <f t="shared" si="2"/>
        <v>-3.6504384554093437E-3</v>
      </c>
      <c r="F114" s="1">
        <f t="shared" si="2"/>
        <v>-7.8213401624022579E-3</v>
      </c>
      <c r="G114" s="1">
        <f t="shared" si="2"/>
        <v>-3.743490392694037E-2</v>
      </c>
    </row>
    <row r="115" spans="1:7" x14ac:dyDescent="0.2">
      <c r="A115" s="7">
        <v>45691</v>
      </c>
      <c r="B115" s="1">
        <v>345.82</v>
      </c>
      <c r="C115" s="1">
        <v>464.61</v>
      </c>
      <c r="D115" s="1">
        <v>116.66</v>
      </c>
      <c r="E115" s="1">
        <f t="shared" si="2"/>
        <v>1.1692637795152673E-2</v>
      </c>
      <c r="F115" s="1">
        <f t="shared" si="2"/>
        <v>-8.7005520565484329E-3</v>
      </c>
      <c r="G115" s="1">
        <f t="shared" si="2"/>
        <v>-2.8811184717135074E-2</v>
      </c>
    </row>
    <row r="116" spans="1:7" x14ac:dyDescent="0.2">
      <c r="A116" s="7">
        <v>45692</v>
      </c>
      <c r="B116" s="1">
        <v>345.15</v>
      </c>
      <c r="C116" s="1">
        <v>467.49</v>
      </c>
      <c r="D116" s="1">
        <v>118.65</v>
      </c>
      <c r="E116" s="1">
        <f t="shared" si="2"/>
        <v>-1.9393033271587735E-3</v>
      </c>
      <c r="F116" s="1">
        <f t="shared" si="2"/>
        <v>6.1796141294400819E-3</v>
      </c>
      <c r="G116" s="1">
        <f t="shared" si="2"/>
        <v>1.6914261556281014E-2</v>
      </c>
    </row>
    <row r="117" spans="1:7" x14ac:dyDescent="0.2">
      <c r="A117" s="7">
        <v>45693</v>
      </c>
      <c r="B117" s="1">
        <v>349.44</v>
      </c>
      <c r="C117" s="1">
        <v>473.73</v>
      </c>
      <c r="D117" s="1">
        <v>124.83</v>
      </c>
      <c r="E117" s="1">
        <f t="shared" si="2"/>
        <v>1.2352767967000907E-2</v>
      </c>
      <c r="F117" s="1">
        <f t="shared" si="2"/>
        <v>1.325958102102876E-2</v>
      </c>
      <c r="G117" s="1">
        <f t="shared" si="2"/>
        <v>5.0774828781187074E-2</v>
      </c>
    </row>
    <row r="118" spans="1:7" x14ac:dyDescent="0.2">
      <c r="A118" s="7">
        <v>45694</v>
      </c>
      <c r="B118" s="1">
        <v>347.48</v>
      </c>
      <c r="C118" s="1">
        <v>477.22</v>
      </c>
      <c r="D118" s="1">
        <v>128.68</v>
      </c>
      <c r="E118" s="1">
        <f t="shared" si="2"/>
        <v>-5.6247637247657453E-3</v>
      </c>
      <c r="F118" s="1">
        <f t="shared" si="2"/>
        <v>7.340061347217393E-3</v>
      </c>
      <c r="G118" s="1">
        <f t="shared" si="2"/>
        <v>3.0375890707866154E-2</v>
      </c>
    </row>
    <row r="119" spans="1:7" x14ac:dyDescent="0.2">
      <c r="A119" s="7">
        <v>45695</v>
      </c>
      <c r="B119" s="1">
        <v>348.02</v>
      </c>
      <c r="C119" s="1">
        <v>472.74</v>
      </c>
      <c r="D119" s="1">
        <v>129.84</v>
      </c>
      <c r="E119" s="1">
        <f t="shared" si="2"/>
        <v>1.5528399957124891E-3</v>
      </c>
      <c r="F119" s="1">
        <f t="shared" si="2"/>
        <v>-9.4320460082271719E-3</v>
      </c>
      <c r="G119" s="1">
        <f t="shared" si="2"/>
        <v>8.974220835510088E-3</v>
      </c>
    </row>
    <row r="120" spans="1:7" x14ac:dyDescent="0.2">
      <c r="A120" s="7">
        <v>45698</v>
      </c>
      <c r="B120" s="1">
        <v>351.23</v>
      </c>
      <c r="C120" s="1">
        <v>470.17</v>
      </c>
      <c r="D120" s="1">
        <v>133.57</v>
      </c>
      <c r="E120" s="1">
        <f t="shared" si="2"/>
        <v>9.181330137628993E-3</v>
      </c>
      <c r="F120" s="1">
        <f t="shared" si="2"/>
        <v>-5.4512230523331151E-3</v>
      </c>
      <c r="G120" s="1">
        <f t="shared" si="2"/>
        <v>2.8322761782678136E-2</v>
      </c>
    </row>
    <row r="121" spans="1:7" x14ac:dyDescent="0.2">
      <c r="A121" s="7">
        <v>45699</v>
      </c>
      <c r="B121" s="1">
        <v>350.72</v>
      </c>
      <c r="C121" s="1">
        <v>472.61</v>
      </c>
      <c r="D121" s="1">
        <v>132.80000000000001</v>
      </c>
      <c r="E121" s="1">
        <f t="shared" si="2"/>
        <v>-1.4530952054651063E-3</v>
      </c>
      <c r="F121" s="1">
        <f t="shared" si="2"/>
        <v>5.1761926385827878E-3</v>
      </c>
      <c r="G121" s="1">
        <f t="shared" si="2"/>
        <v>-5.7814479466803586E-3</v>
      </c>
    </row>
    <row r="122" spans="1:7" x14ac:dyDescent="0.2">
      <c r="A122" s="7">
        <v>45700</v>
      </c>
      <c r="B122" s="1">
        <v>351.49</v>
      </c>
      <c r="C122" s="1">
        <v>471.73</v>
      </c>
      <c r="D122" s="1">
        <v>131.13999999999999</v>
      </c>
      <c r="E122" s="1">
        <f t="shared" si="2"/>
        <v>2.1930770242949947E-3</v>
      </c>
      <c r="F122" s="1">
        <f t="shared" si="2"/>
        <v>-1.86373605846242E-3</v>
      </c>
      <c r="G122" s="1">
        <f t="shared" si="2"/>
        <v>-1.2578782206860298E-2</v>
      </c>
    </row>
    <row r="123" spans="1:7" x14ac:dyDescent="0.2">
      <c r="A123" s="7">
        <v>45701</v>
      </c>
      <c r="B123" s="1">
        <v>355.63</v>
      </c>
      <c r="C123" s="1">
        <v>480.49</v>
      </c>
      <c r="D123" s="1">
        <v>135.29</v>
      </c>
      <c r="E123" s="1">
        <f t="shared" si="2"/>
        <v>1.1709603191821093E-2</v>
      </c>
      <c r="F123" s="1">
        <f t="shared" si="2"/>
        <v>1.839962852581626E-2</v>
      </c>
      <c r="G123" s="1">
        <f t="shared" si="2"/>
        <v>3.1155167779795479E-2</v>
      </c>
    </row>
    <row r="124" spans="1:7" x14ac:dyDescent="0.2">
      <c r="A124" s="7">
        <v>45702</v>
      </c>
      <c r="B124" s="1">
        <v>353.81</v>
      </c>
      <c r="C124" s="1">
        <v>479.59</v>
      </c>
      <c r="D124" s="1">
        <v>138.85</v>
      </c>
      <c r="E124" s="1">
        <f t="shared" si="2"/>
        <v>-5.1308186532158778E-3</v>
      </c>
      <c r="F124" s="1">
        <f t="shared" si="2"/>
        <v>-1.8748443121992377E-3</v>
      </c>
      <c r="G124" s="1">
        <f t="shared" si="2"/>
        <v>2.5973591137539755E-2</v>
      </c>
    </row>
    <row r="125" spans="1:7" x14ac:dyDescent="0.2">
      <c r="A125" s="7">
        <v>45706</v>
      </c>
      <c r="B125" s="1">
        <v>356.73</v>
      </c>
      <c r="C125" s="1">
        <v>482.82</v>
      </c>
      <c r="D125" s="1">
        <v>139.4</v>
      </c>
      <c r="E125" s="1">
        <f t="shared" si="2"/>
        <v>8.2191472351009157E-3</v>
      </c>
      <c r="F125" s="1">
        <f t="shared" si="2"/>
        <v>6.7123411590404563E-3</v>
      </c>
      <c r="G125" s="1">
        <f t="shared" si="2"/>
        <v>3.953284573615142E-3</v>
      </c>
    </row>
    <row r="126" spans="1:7" x14ac:dyDescent="0.2">
      <c r="A126" s="7">
        <v>45707</v>
      </c>
      <c r="B126" s="1">
        <v>355.23</v>
      </c>
      <c r="C126" s="1">
        <v>483.77</v>
      </c>
      <c r="D126" s="1">
        <v>139.22999999999999</v>
      </c>
      <c r="E126" s="1">
        <f t="shared" si="2"/>
        <v>-4.2137261066220004E-3</v>
      </c>
      <c r="F126" s="1">
        <f t="shared" si="2"/>
        <v>1.9656737725197116E-3</v>
      </c>
      <c r="G126" s="1">
        <f t="shared" si="2"/>
        <v>-1.2202564052294857E-3</v>
      </c>
    </row>
    <row r="127" spans="1:7" x14ac:dyDescent="0.2">
      <c r="A127" s="7">
        <v>45708</v>
      </c>
      <c r="B127" s="1">
        <v>350.49</v>
      </c>
      <c r="C127" s="1">
        <v>481.8</v>
      </c>
      <c r="D127" s="1">
        <v>140.11000000000001</v>
      </c>
      <c r="E127" s="1">
        <f t="shared" si="2"/>
        <v>-1.3433291613808499E-2</v>
      </c>
      <c r="F127" s="1">
        <f t="shared" si="2"/>
        <v>-4.0804969778452209E-3</v>
      </c>
      <c r="G127" s="1">
        <f t="shared" si="2"/>
        <v>6.3005864619461423E-3</v>
      </c>
    </row>
    <row r="128" spans="1:7" x14ac:dyDescent="0.2">
      <c r="A128" s="7"/>
      <c r="B128" s="1"/>
      <c r="C128" s="1"/>
      <c r="D128" s="1"/>
      <c r="E128" s="1"/>
      <c r="F128" s="1"/>
      <c r="G128" s="1"/>
    </row>
  </sheetData>
  <mergeCells count="21">
    <mergeCell ref="Q24:R24"/>
    <mergeCell ref="P29:P32"/>
    <mergeCell ref="Q29:Q32"/>
    <mergeCell ref="P37:P39"/>
    <mergeCell ref="Q37:Q39"/>
    <mergeCell ref="I23:J23"/>
    <mergeCell ref="M23:N23"/>
    <mergeCell ref="P2:Q2"/>
    <mergeCell ref="Q20:R20"/>
    <mergeCell ref="Q21:R21"/>
    <mergeCell ref="Q22:R22"/>
    <mergeCell ref="J19:K19"/>
    <mergeCell ref="J20:K20"/>
    <mergeCell ref="J21:K21"/>
    <mergeCell ref="M18:N18"/>
    <mergeCell ref="T18:T19"/>
    <mergeCell ref="U18:U19"/>
    <mergeCell ref="I1:J1"/>
    <mergeCell ref="I7:J7"/>
    <mergeCell ref="I18:K18"/>
    <mergeCell ref="S9:S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Q1 - Q7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Mohammed Owolabi</dc:creator>
  <cp:lastModifiedBy>Mohammed Owolabi</cp:lastModifiedBy>
  <dcterms:created xsi:type="dcterms:W3CDTF">2025-03-06T06:50:19Z</dcterms:created>
  <dcterms:modified xsi:type="dcterms:W3CDTF">2025-10-16T13:30:40Z</dcterms:modified>
</cp:coreProperties>
</file>